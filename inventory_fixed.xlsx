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
    </mc:Choice>
  </mc:AlternateContent>
  <bookViews>
    <workbookView xWindow="240" yWindow="15" windowWidth="16095" windowHeight="9660" activeTab="2"/>
  </bookViews>
  <sheets>
    <sheet name="pivot table" sheetId="2" r:id="rId1"/>
    <sheet name="database" sheetId="1" r:id="rId2"/>
    <sheet name="dashboard" sheetId="3" r:id="rId3"/>
  </sheets>
  <definedNames>
    <definedName name="_xlnm._FilterDatabase" localSheetId="1" hidden="1">database!$A$1:$S$1</definedName>
    <definedName name="_xlchart.0" hidden="1">'pivot table'!$M$10:$M$12</definedName>
    <definedName name="_xlchart.1" hidden="1">'pivot table'!$N$10:$N$12</definedName>
    <definedName name="_xlchart.2" hidden="1">'pivot table'!$O$10:$O$12</definedName>
    <definedName name="_xlchart.3" hidden="1">'pivot table'!$M$10:$M$12</definedName>
    <definedName name="_xlchart.4" hidden="1">'pivot table'!$N$10:$N$12</definedName>
    <definedName name="_xlchart.5" hidden="1">'pivot table'!$O$10:$O$12</definedName>
    <definedName name="Slicer_Order_Month">#N/A</definedName>
    <definedName name="Slicer_Order_Year">#N/A</definedName>
    <definedName name="Slicer_Region">#N/A</definedName>
    <definedName name="Slicer_Segment">#N/A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D3" i="2" l="1"/>
  <c r="AU4" i="2"/>
  <c r="AU5" i="2"/>
  <c r="AU3" i="2"/>
  <c r="AT4" i="2"/>
  <c r="AT5" i="2"/>
  <c r="AT3" i="2"/>
  <c r="AE4" i="2"/>
  <c r="AE5" i="2"/>
  <c r="AE6" i="2"/>
  <c r="AE7" i="2"/>
  <c r="AE8" i="2"/>
  <c r="AE3" i="2"/>
  <c r="AD4" i="2"/>
  <c r="AD5" i="2"/>
  <c r="AD6" i="2"/>
  <c r="AD7" i="2"/>
  <c r="AD8" i="2"/>
  <c r="K5" i="2"/>
  <c r="K6" i="2"/>
  <c r="K4" i="2"/>
  <c r="K3" i="2"/>
  <c r="J4" i="2"/>
  <c r="J5" i="2"/>
  <c r="J6" i="2"/>
  <c r="J3" i="2"/>
  <c r="AN3" i="2" l="1"/>
  <c r="C17" i="2"/>
  <c r="C18" i="2"/>
  <c r="C19" i="2"/>
  <c r="C20" i="2"/>
  <c r="C21" i="2"/>
  <c r="C22" i="2"/>
  <c r="C23" i="2"/>
  <c r="C24" i="2"/>
  <c r="C25" i="2"/>
  <c r="C26" i="2"/>
  <c r="C27" i="2"/>
  <c r="B17" i="2"/>
  <c r="B18" i="2"/>
  <c r="B19" i="2"/>
  <c r="B20" i="2"/>
  <c r="B21" i="2"/>
  <c r="B22" i="2"/>
  <c r="B23" i="2"/>
  <c r="B24" i="2"/>
  <c r="B25" i="2"/>
  <c r="B26" i="2"/>
  <c r="B27" i="2"/>
  <c r="C16" i="2"/>
  <c r="B16" i="2"/>
  <c r="U13" i="2"/>
  <c r="V14" i="2"/>
  <c r="U14" i="2"/>
  <c r="V15" i="2"/>
  <c r="V16" i="2"/>
  <c r="V17" i="2"/>
  <c r="V18" i="2"/>
  <c r="V13" i="2"/>
  <c r="U15" i="2"/>
  <c r="U16" i="2"/>
  <c r="U17" i="2"/>
  <c r="U18" i="2"/>
  <c r="O11" i="2"/>
  <c r="O12" i="2"/>
  <c r="O10" i="2"/>
  <c r="N11" i="2"/>
  <c r="N12" i="2"/>
  <c r="N10" i="2"/>
  <c r="T16" i="2" l="1"/>
  <c r="T15" i="2"/>
  <c r="T18" i="2"/>
  <c r="T14" i="2"/>
  <c r="T17" i="2"/>
  <c r="T13" i="2"/>
  <c r="M11" i="2"/>
  <c r="M12" i="2"/>
  <c r="M10" i="2"/>
  <c r="AN4" i="2"/>
  <c r="AS4" i="2"/>
  <c r="AS5" i="2"/>
  <c r="AS3" i="2"/>
  <c r="AP2" i="2" l="1"/>
  <c r="AN5" i="2"/>
  <c r="T2" i="2"/>
  <c r="M2" i="2"/>
</calcChain>
</file>

<file path=xl/sharedStrings.xml><?xml version="1.0" encoding="utf-8"?>
<sst xmlns="http://schemas.openxmlformats.org/spreadsheetml/2006/main" count="11093" uniqueCount="373">
  <si>
    <t>Raw ID</t>
  </si>
  <si>
    <t>Order Date</t>
  </si>
  <si>
    <t>Order Year</t>
  </si>
  <si>
    <t>Order Month</t>
  </si>
  <si>
    <t>Ship Date</t>
  </si>
  <si>
    <t>Delivery Time</t>
  </si>
  <si>
    <t>Ship Mode</t>
  </si>
  <si>
    <t>Customer Name</t>
  </si>
  <si>
    <t>Segment</t>
  </si>
  <si>
    <t>Country</t>
  </si>
  <si>
    <t>City</t>
  </si>
  <si>
    <t>State</t>
  </si>
  <si>
    <t>Region</t>
  </si>
  <si>
    <t>Category</t>
  </si>
  <si>
    <t>Sub Category</t>
  </si>
  <si>
    <t>Product Name</t>
  </si>
  <si>
    <t>Sales</t>
  </si>
  <si>
    <t>Quantity</t>
  </si>
  <si>
    <t>Profit</t>
  </si>
  <si>
    <t>May</t>
  </si>
  <si>
    <t>July</t>
  </si>
  <si>
    <t>June</t>
  </si>
  <si>
    <t>October</t>
  </si>
  <si>
    <t>January</t>
  </si>
  <si>
    <t>March</t>
  </si>
  <si>
    <t>September</t>
  </si>
  <si>
    <t>April</t>
  </si>
  <si>
    <t>August</t>
  </si>
  <si>
    <t>February</t>
  </si>
  <si>
    <t>December</t>
  </si>
  <si>
    <t>November</t>
  </si>
  <si>
    <t>Same Day</t>
  </si>
  <si>
    <t>Standard Class</t>
  </si>
  <si>
    <t>First Class</t>
  </si>
  <si>
    <t>Second Class</t>
  </si>
  <si>
    <t>Customer 69</t>
  </si>
  <si>
    <t>Customer 126</t>
  </si>
  <si>
    <t>Customer 214</t>
  </si>
  <si>
    <t>Customer 29</t>
  </si>
  <si>
    <t>Customer 203</t>
  </si>
  <si>
    <t>Customer 293</t>
  </si>
  <si>
    <t>Customer 250</t>
  </si>
  <si>
    <t>Customer 231</t>
  </si>
  <si>
    <t>Customer 67</t>
  </si>
  <si>
    <t>Customer 289</t>
  </si>
  <si>
    <t>Customer 157</t>
  </si>
  <si>
    <t>Customer 208</t>
  </si>
  <si>
    <t>Customer 273</t>
  </si>
  <si>
    <t>Customer 92</t>
  </si>
  <si>
    <t>Customer 298</t>
  </si>
  <si>
    <t>Customer 228</t>
  </si>
  <si>
    <t>Customer 259</t>
  </si>
  <si>
    <t>Customer 287</t>
  </si>
  <si>
    <t>Customer 241</t>
  </si>
  <si>
    <t>Customer 192</t>
  </si>
  <si>
    <t>Customer 135</t>
  </si>
  <si>
    <t>Customer 285</t>
  </si>
  <si>
    <t>Customer 109</t>
  </si>
  <si>
    <t>Customer 264</t>
  </si>
  <si>
    <t>Customer 74</t>
  </si>
  <si>
    <t>Customer 125</t>
  </si>
  <si>
    <t>Customer 162</t>
  </si>
  <si>
    <t>Customer 28</t>
  </si>
  <si>
    <t>Customer 194</t>
  </si>
  <si>
    <t>Customer 80</t>
  </si>
  <si>
    <t>Customer 140</t>
  </si>
  <si>
    <t>Customer 145</t>
  </si>
  <si>
    <t>Customer 280</t>
  </si>
  <si>
    <t>Customer 93</t>
  </si>
  <si>
    <t>Customer 62</t>
  </si>
  <si>
    <t>Customer 51</t>
  </si>
  <si>
    <t>Customer 12</t>
  </si>
  <si>
    <t>Customer 251</t>
  </si>
  <si>
    <t>Customer 19</t>
  </si>
  <si>
    <t>Customer 212</t>
  </si>
  <si>
    <t>Customer 44</t>
  </si>
  <si>
    <t>Customer 121</t>
  </si>
  <si>
    <t>Customer 282</t>
  </si>
  <si>
    <t>Customer 223</t>
  </si>
  <si>
    <t>Customer 198</t>
  </si>
  <si>
    <t>Customer 98</t>
  </si>
  <si>
    <t>Customer 22</t>
  </si>
  <si>
    <t>Customer 94</t>
  </si>
  <si>
    <t>Customer 158</t>
  </si>
  <si>
    <t>Customer 40</t>
  </si>
  <si>
    <t>Customer 118</t>
  </si>
  <si>
    <t>Customer 184</t>
  </si>
  <si>
    <t>Customer 15</t>
  </si>
  <si>
    <t>Customer 206</t>
  </si>
  <si>
    <t>Customer 104</t>
  </si>
  <si>
    <t>Customer 42</t>
  </si>
  <si>
    <t>Customer 54</t>
  </si>
  <si>
    <t>Customer 120</t>
  </si>
  <si>
    <t>Customer 108</t>
  </si>
  <si>
    <t>Customer 197</t>
  </si>
  <si>
    <t>Customer 189</t>
  </si>
  <si>
    <t>Customer 205</t>
  </si>
  <si>
    <t>Customer 248</t>
  </si>
  <si>
    <t>Customer 168</t>
  </si>
  <si>
    <t>Customer 97</t>
  </si>
  <si>
    <t>Customer 124</t>
  </si>
  <si>
    <t>Customer 160</t>
  </si>
  <si>
    <t>Customer 34</t>
  </si>
  <si>
    <t>Customer 249</t>
  </si>
  <si>
    <t>Customer 300</t>
  </si>
  <si>
    <t>Customer 49</t>
  </si>
  <si>
    <t>Customer 224</t>
  </si>
  <si>
    <t>Customer 177</t>
  </si>
  <si>
    <t>Customer 243</t>
  </si>
  <si>
    <t>Customer 278</t>
  </si>
  <si>
    <t>Customer 122</t>
  </si>
  <si>
    <t>Customer 159</t>
  </si>
  <si>
    <t>Customer 103</t>
  </si>
  <si>
    <t>Customer 114</t>
  </si>
  <si>
    <t>Customer 238</t>
  </si>
  <si>
    <t>Customer 276</t>
  </si>
  <si>
    <t>Customer 41</t>
  </si>
  <si>
    <t>Customer 237</t>
  </si>
  <si>
    <t>Customer 172</t>
  </si>
  <si>
    <t>Customer 240</t>
  </si>
  <si>
    <t>Customer 138</t>
  </si>
  <si>
    <t>Customer 59</t>
  </si>
  <si>
    <t>Customer 166</t>
  </si>
  <si>
    <t>Customer 148</t>
  </si>
  <si>
    <t>Customer 173</t>
  </si>
  <si>
    <t>Customer 253</t>
  </si>
  <si>
    <t>Customer 195</t>
  </si>
  <si>
    <t>Customer 85</t>
  </si>
  <si>
    <t>Customer 268</t>
  </si>
  <si>
    <t>Customer 139</t>
  </si>
  <si>
    <t>Customer 18</t>
  </si>
  <si>
    <t>Customer 246</t>
  </si>
  <si>
    <t>Customer 170</t>
  </si>
  <si>
    <t>Customer 134</t>
  </si>
  <si>
    <t>Customer 292</t>
  </si>
  <si>
    <t>Customer 72</t>
  </si>
  <si>
    <t>Customer 234</t>
  </si>
  <si>
    <t>Customer 52</t>
  </si>
  <si>
    <t>Customer 117</t>
  </si>
  <si>
    <t>Customer 141</t>
  </si>
  <si>
    <t>Customer 163</t>
  </si>
  <si>
    <t>Customer 180</t>
  </si>
  <si>
    <t>Customer 185</t>
  </si>
  <si>
    <t>Customer 1</t>
  </si>
  <si>
    <t>Customer 56</t>
  </si>
  <si>
    <t>Customer 55</t>
  </si>
  <si>
    <t>Customer 274</t>
  </si>
  <si>
    <t>Customer 129</t>
  </si>
  <si>
    <t>Customer 123</t>
  </si>
  <si>
    <t>Customer 178</t>
  </si>
  <si>
    <t>Customer 35</t>
  </si>
  <si>
    <t>Customer 48</t>
  </si>
  <si>
    <t>Customer 23</t>
  </si>
  <si>
    <t>Customer 176</t>
  </si>
  <si>
    <t>Customer 86</t>
  </si>
  <si>
    <t>Customer 215</t>
  </si>
  <si>
    <t>Customer 70</t>
  </si>
  <si>
    <t>Customer 288</t>
  </si>
  <si>
    <t>Customer 219</t>
  </si>
  <si>
    <t>Customer 64</t>
  </si>
  <si>
    <t>Customer 283</t>
  </si>
  <si>
    <t>Customer 260</t>
  </si>
  <si>
    <t>Customer 5</t>
  </si>
  <si>
    <t>Customer 252</t>
  </si>
  <si>
    <t>Customer 186</t>
  </si>
  <si>
    <t>Customer 60</t>
  </si>
  <si>
    <t>Customer 110</t>
  </si>
  <si>
    <t>Customer 152</t>
  </si>
  <si>
    <t>Customer 136</t>
  </si>
  <si>
    <t>Customer 151</t>
  </si>
  <si>
    <t>Customer 111</t>
  </si>
  <si>
    <t>Customer 239</t>
  </si>
  <si>
    <t>Customer 196</t>
  </si>
  <si>
    <t>Customer 209</t>
  </si>
  <si>
    <t>Customer 165</t>
  </si>
  <si>
    <t>Customer 32</t>
  </si>
  <si>
    <t>Customer 95</t>
  </si>
  <si>
    <t>Customer 286</t>
  </si>
  <si>
    <t>Customer 82</t>
  </si>
  <si>
    <t>Customer 232</t>
  </si>
  <si>
    <t>Customer 75</t>
  </si>
  <si>
    <t>Customer 43</t>
  </si>
  <si>
    <t>Customer 153</t>
  </si>
  <si>
    <t>Customer 6</t>
  </si>
  <si>
    <t>Customer 299</t>
  </si>
  <si>
    <t>Customer 61</t>
  </si>
  <si>
    <t>Customer 254</t>
  </si>
  <si>
    <t>Customer 76</t>
  </si>
  <si>
    <t>Customer 102</t>
  </si>
  <si>
    <t>Customer 294</t>
  </si>
  <si>
    <t>Customer 155</t>
  </si>
  <si>
    <t>Customer 100</t>
  </si>
  <si>
    <t>Customer 8</t>
  </si>
  <si>
    <t>Customer 50</t>
  </si>
  <si>
    <t>Customer 105</t>
  </si>
  <si>
    <t>Customer 91</t>
  </si>
  <si>
    <t>Customer 258</t>
  </si>
  <si>
    <t>Customer 9</t>
  </si>
  <si>
    <t>Customer 26</t>
  </si>
  <si>
    <t>Customer 68</t>
  </si>
  <si>
    <t>Customer 262</t>
  </si>
  <si>
    <t>Customer 266</t>
  </si>
  <si>
    <t>Customer 255</t>
  </si>
  <si>
    <t>Customer 27</t>
  </si>
  <si>
    <t>Customer 17</t>
  </si>
  <si>
    <t>Customer 182</t>
  </si>
  <si>
    <t>Customer 25</t>
  </si>
  <si>
    <t>Customer 221</t>
  </si>
  <si>
    <t>Customer 257</t>
  </si>
  <si>
    <t>Customer 113</t>
  </si>
  <si>
    <t>Customer 272</t>
  </si>
  <si>
    <t>Customer 89</t>
  </si>
  <si>
    <t>Customer 275</t>
  </si>
  <si>
    <t>Customer 201</t>
  </si>
  <si>
    <t>Customer 154</t>
  </si>
  <si>
    <t>Customer 217</t>
  </si>
  <si>
    <t>Customer 39</t>
  </si>
  <si>
    <t>Customer 222</t>
  </si>
  <si>
    <t>Customer 11</t>
  </si>
  <si>
    <t>Customer 58</t>
  </si>
  <si>
    <t>Customer 116</t>
  </si>
  <si>
    <t>Customer 2</t>
  </si>
  <si>
    <t>Customer 87</t>
  </si>
  <si>
    <t>Customer 73</t>
  </si>
  <si>
    <t>Customer 226</t>
  </si>
  <si>
    <t>Customer 84</t>
  </si>
  <si>
    <t>Customer 227</t>
  </si>
  <si>
    <t>Customer 38</t>
  </si>
  <si>
    <t>Customer 210</t>
  </si>
  <si>
    <t>Customer 220</t>
  </si>
  <si>
    <t>Customer 235</t>
  </si>
  <si>
    <t>Customer 247</t>
  </si>
  <si>
    <t>Customer 267</t>
  </si>
  <si>
    <t>Customer 142</t>
  </si>
  <si>
    <t>Customer 7</t>
  </si>
  <si>
    <t>Customer 174</t>
  </si>
  <si>
    <t>Customer 200</t>
  </si>
  <si>
    <t>Customer 78</t>
  </si>
  <si>
    <t>Customer 256</t>
  </si>
  <si>
    <t>Customer 181</t>
  </si>
  <si>
    <t>Customer 10</t>
  </si>
  <si>
    <t>Customer 130</t>
  </si>
  <si>
    <t>Customer 202</t>
  </si>
  <si>
    <t>Customer 261</t>
  </si>
  <si>
    <t>Customer 21</t>
  </si>
  <si>
    <t>Customer 229</t>
  </si>
  <si>
    <t>Customer 133</t>
  </si>
  <si>
    <t>Customer 119</t>
  </si>
  <si>
    <t>Customer 277</t>
  </si>
  <si>
    <t>Customer 265</t>
  </si>
  <si>
    <t>Customer 233</t>
  </si>
  <si>
    <t>Customer 199</t>
  </si>
  <si>
    <t>Customer 269</t>
  </si>
  <si>
    <t>Customer 218</t>
  </si>
  <si>
    <t>Customer 47</t>
  </si>
  <si>
    <t>Customer 236</t>
  </si>
  <si>
    <t>Customer 295</t>
  </si>
  <si>
    <t>Customer 207</t>
  </si>
  <si>
    <t>Customer 79</t>
  </si>
  <si>
    <t>Customer 106</t>
  </si>
  <si>
    <t>Customer 36</t>
  </si>
  <si>
    <t>Customer 193</t>
  </si>
  <si>
    <t>Customer 147</t>
  </si>
  <si>
    <t>Customer 263</t>
  </si>
  <si>
    <t>Customer 245</t>
  </si>
  <si>
    <t>Customer 150</t>
  </si>
  <si>
    <t>Customer 46</t>
  </si>
  <si>
    <t>Customer 132</t>
  </si>
  <si>
    <t>Customer 112</t>
  </si>
  <si>
    <t>Customer 164</t>
  </si>
  <si>
    <t>Customer 271</t>
  </si>
  <si>
    <t>Customer 77</t>
  </si>
  <si>
    <t>Customer 24</t>
  </si>
  <si>
    <t>Customer 156</t>
  </si>
  <si>
    <t>Customer 127</t>
  </si>
  <si>
    <t>Customer 213</t>
  </si>
  <si>
    <t>Customer 96</t>
  </si>
  <si>
    <t>Customer 290</t>
  </si>
  <si>
    <t>Customer 149</t>
  </si>
  <si>
    <t>Customer 45</t>
  </si>
  <si>
    <t>Customer 4</t>
  </si>
  <si>
    <t>Customer 30</t>
  </si>
  <si>
    <t>Customer 225</t>
  </si>
  <si>
    <t>Customer 63</t>
  </si>
  <si>
    <t>Customer 190</t>
  </si>
  <si>
    <t>Customer 284</t>
  </si>
  <si>
    <t>Customer 281</t>
  </si>
  <si>
    <t>Customer 101</t>
  </si>
  <si>
    <t>Customer 71</t>
  </si>
  <si>
    <t>Customer 144</t>
  </si>
  <si>
    <t>Customer 131</t>
  </si>
  <si>
    <t>Customer 244</t>
  </si>
  <si>
    <t>Customer 187</t>
  </si>
  <si>
    <t>Customer 115</t>
  </si>
  <si>
    <t>Customer 128</t>
  </si>
  <si>
    <t>Customer 242</t>
  </si>
  <si>
    <t>Customer 204</t>
  </si>
  <si>
    <t>Customer 291</t>
  </si>
  <si>
    <t>Customer 188</t>
  </si>
  <si>
    <t>Customer 296</t>
  </si>
  <si>
    <t>Customer 161</t>
  </si>
  <si>
    <t>Customer 171</t>
  </si>
  <si>
    <t>Customer 183</t>
  </si>
  <si>
    <t>Customer 53</t>
  </si>
  <si>
    <t>Customer 167</t>
  </si>
  <si>
    <t>Customer 88</t>
  </si>
  <si>
    <t>Customer 16</t>
  </si>
  <si>
    <t>Customer 230</t>
  </si>
  <si>
    <t>Customer 66</t>
  </si>
  <si>
    <t>Customer 137</t>
  </si>
  <si>
    <t>Customer 37</t>
  </si>
  <si>
    <t>Customer 279</t>
  </si>
  <si>
    <t>Customer 179</t>
  </si>
  <si>
    <t>Customer 99</t>
  </si>
  <si>
    <t>Customer 57</t>
  </si>
  <si>
    <t>Customer 297</t>
  </si>
  <si>
    <t>Customer 13</t>
  </si>
  <si>
    <t>Customer 107</t>
  </si>
  <si>
    <t>Customer 31</t>
  </si>
  <si>
    <t>Customer 20</t>
  </si>
  <si>
    <t>Customer 175</t>
  </si>
  <si>
    <t>Customer 143</t>
  </si>
  <si>
    <t>Customer 90</t>
  </si>
  <si>
    <t>Home Office</t>
  </si>
  <si>
    <t>Corporate</t>
  </si>
  <si>
    <t>Consumer</t>
  </si>
  <si>
    <t>Canada</t>
  </si>
  <si>
    <t>India</t>
  </si>
  <si>
    <t>USA</t>
  </si>
  <si>
    <t>Toronto</t>
  </si>
  <si>
    <t>Bangalore</t>
  </si>
  <si>
    <t>Vancouver</t>
  </si>
  <si>
    <t>Chicago</t>
  </si>
  <si>
    <t>Montreal</t>
  </si>
  <si>
    <t>Delhi</t>
  </si>
  <si>
    <t>New York</t>
  </si>
  <si>
    <t>Los Angeles</t>
  </si>
  <si>
    <t>Mumbai</t>
  </si>
  <si>
    <t>Ontario</t>
  </si>
  <si>
    <t>Karnataka</t>
  </si>
  <si>
    <t>British Columbia</t>
  </si>
  <si>
    <t>Illinois</t>
  </si>
  <si>
    <t>Quebec</t>
  </si>
  <si>
    <t>California</t>
  </si>
  <si>
    <t>Maharashtra</t>
  </si>
  <si>
    <t>East</t>
  </si>
  <si>
    <t>South</t>
  </si>
  <si>
    <t>West</t>
  </si>
  <si>
    <t>Central</t>
  </si>
  <si>
    <t>North</t>
  </si>
  <si>
    <t>Office Supplies</t>
  </si>
  <si>
    <t>Technology</t>
  </si>
  <si>
    <t>Furniture</t>
  </si>
  <si>
    <t>Paper</t>
  </si>
  <si>
    <t>Binders</t>
  </si>
  <si>
    <t>Accessories</t>
  </si>
  <si>
    <t>Phones</t>
  </si>
  <si>
    <t>Chairs</t>
  </si>
  <si>
    <t>Tables</t>
  </si>
  <si>
    <t>Product A</t>
  </si>
  <si>
    <t>Product B</t>
  </si>
  <si>
    <t>Product D</t>
  </si>
  <si>
    <t>Product C</t>
  </si>
  <si>
    <t>Sum of Sales</t>
  </si>
  <si>
    <t>Row Labels</t>
  </si>
  <si>
    <t>Sum of Quantity</t>
  </si>
  <si>
    <t>Sum of Profit</t>
  </si>
  <si>
    <t>total sale</t>
  </si>
  <si>
    <t>total profit</t>
  </si>
  <si>
    <t>profit %</t>
  </si>
  <si>
    <t>top segment</t>
  </si>
  <si>
    <t>top sub category</t>
  </si>
  <si>
    <t>top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</si>
</sst>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yyyy\-mm\-d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2" applyFont="1"/>
    <xf numFmtId="44" fontId="0" fillId="0" borderId="0" xfId="1" applyFont="1"/>
  </cellXfs>
  <cellStyles count="3">
    <cellStyle name="Currency" xfId="1" builtinId="4"/>
    <cellStyle name="Normal" xfId="0" builtinId="0"/>
    <cellStyle name="Percent" xfId="2" builtinId="5"/>
  </cellStyles>
  <dxfs count="6">
    <dxf>
      <font>
        <color theme="0"/>
      </font>
      <fill>
        <patternFill>
          <bgColor theme="1"/>
        </patternFill>
      </fill>
    </dxf>
    <dxf>
      <font>
        <b val="0"/>
        <i val="0"/>
        <sz val="14"/>
        <color theme="0"/>
        <name val="Calibri"/>
        <scheme val="minor"/>
      </font>
      <fill>
        <patternFill>
          <fgColor theme="0"/>
          <bgColor rgb="FF111111"/>
        </patternFill>
      </fill>
      <border diagonalUp="0" diagonalDown="0">
        <left style="thin">
          <color auto="1"/>
        </left>
        <right style="thin">
          <color auto="1"/>
        </right>
        <top style="thin">
          <color auto="1"/>
        </top>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s>
  <tableStyles count="4" defaultTableStyle="TableStyleMedium9" defaultPivotStyle="PivotStyleLight16">
    <tableStyle name="Slicer Style 1" pivot="0" table="0" count="2">
      <tableStyleElement type="wholeTable" dxfId="4"/>
      <tableStyleElement type="headerRow" dxfId="5"/>
    </tableStyle>
    <tableStyle name="Slicer Style 2" pivot="0" table="0" count="1">
      <tableStyleElement type="wholeTable" dxfId="3"/>
    </tableStyle>
    <tableStyle name="Slicer Style 3" pivot="0" table="0" count="3">
      <tableStyleElement type="wholeTable" dxfId="2"/>
    </tableStyle>
    <tableStyle name="Slicer Style 4" pivot="0" table="0" count="6">
      <tableStyleElement type="wholeTable" dxfId="1"/>
      <tableStyleElement type="headerRow" dxfId="0"/>
    </tableStyle>
  </tableStyles>
  <colors>
    <mruColors>
      <color rgb="FF00CCFF"/>
      <color rgb="FF5F5F5F"/>
      <color rgb="FF66FF66"/>
      <color rgb="FF00FF00"/>
      <color rgb="FF00FFFF"/>
      <color rgb="FF111111"/>
      <color rgb="FF4D4D4D"/>
      <color rgb="FFB2B2B2"/>
      <color rgb="FF777777"/>
      <color rgb="FF292929"/>
    </mruColors>
  </colors>
  <extLst>
    <ext xmlns:x14="http://schemas.microsoft.com/office/spreadsheetml/2009/9/main" uri="{46F421CA-312F-682f-3DD2-61675219B42D}">
      <x14:dxfs count="6">
        <dxf>
          <fill>
            <patternFill>
              <bgColor theme="9" tint="0.39994506668294322"/>
            </patternFill>
          </fill>
          <border>
            <left style="thin">
              <color auto="1"/>
            </left>
            <right style="thin">
              <color auto="1"/>
            </right>
            <top style="thin">
              <color auto="1"/>
            </top>
            <bottom style="thin">
              <color auto="1"/>
            </bottom>
          </border>
        </dxf>
        <dxf>
          <font>
            <color theme="1"/>
          </font>
          <fill>
            <patternFill patternType="solid">
              <fgColor indexed="64"/>
              <bgColor rgb="FF00CCFF"/>
            </patternFill>
          </fill>
        </dxf>
        <dxf>
          <fill>
            <patternFill>
              <bgColor rgb="FFFFC000"/>
            </patternFill>
          </fill>
        </dxf>
        <dxf>
          <font>
            <color theme="0"/>
          </font>
          <fill>
            <patternFill>
              <bgColor rgb="FF5F5F5F"/>
            </patternFill>
          </fill>
        </dxf>
        <dxf>
          <fill>
            <patternFill>
              <bgColor rgb="FF00FFFF"/>
            </patternFill>
          </fill>
        </dxf>
        <dxf>
          <fill>
            <patternFill>
              <fgColor rgb="FF00FFFF"/>
              <bgColor rgb="FF00B0F0"/>
            </patternFill>
          </fill>
        </dxf>
      </x14:dxfs>
    </ext>
    <ext xmlns:x14="http://schemas.microsoft.com/office/spreadsheetml/2009/9/main" uri="{EB79DEF2-80B8-43e5-95BD-54CBDDF9020C}">
      <x14:slicerStyles defaultSlicerStyle="SlicerStyleOther1">
        <x14:slicerStyle name="Slicer Style 1"/>
        <x14:slicerStyle name="Slicer Style 2"/>
        <x14:slicerStyle name="Slicer Style 3">
          <x14:slicerStyleElements>
            <x14:slicerStyleElement type="selectedItemWithData" dxfId="4"/>
            <x14:slicerStyleElement type="selectedItemWithNoData" dxfId="5"/>
          </x14:slicerStyleElements>
        </x14:slicerStyle>
        <x14:slicerStyle name="Slicer Style 4">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 inventory 1.xlsx]pivot table!monthly quantity</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haroni" panose="02010803020104030203" pitchFamily="2" charset="-79"/>
                <a:cs typeface="Aharoni" panose="02010803020104030203" pitchFamily="2" charset="-79"/>
              </a:rPr>
              <a:t>Quantity</a:t>
            </a:r>
            <a:r>
              <a:rPr lang="en-US" b="1" baseline="0">
                <a:solidFill>
                  <a:schemeClr val="bg1"/>
                </a:solidFill>
                <a:latin typeface="Aharoni" panose="02010803020104030203" pitchFamily="2" charset="-79"/>
                <a:cs typeface="Aharoni" panose="02010803020104030203" pitchFamily="2" charset="-79"/>
              </a:rPr>
              <a:t> Sold</a:t>
            </a:r>
            <a:endParaRPr lang="en-US" b="1">
              <a:solidFill>
                <a:schemeClr val="bg1"/>
              </a:solidFill>
              <a:latin typeface="Aharoni" panose="02010803020104030203" pitchFamily="2" charset="-79"/>
              <a:cs typeface="Aharoni" panose="02010803020104030203" pitchFamily="2" charset="-79"/>
            </a:endParaRPr>
          </a:p>
        </c:rich>
      </c:tx>
      <c:layout>
        <c:manualLayout>
          <c:xMode val="edge"/>
          <c:yMode val="edge"/>
          <c:x val="1.6723706845517921E-2"/>
          <c:y val="3.5450368553569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gradFill>
            <a:gsLst>
              <a:gs pos="0">
                <a:srgbClr val="00FFFF"/>
              </a:gs>
              <a:gs pos="100000">
                <a:srgbClr val="111111"/>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gradFill flip="none" rotWithShape="1">
              <a:gsLst>
                <a:gs pos="0">
                  <a:srgbClr val="00FFFF"/>
                </a:gs>
                <a:gs pos="100000">
                  <a:srgbClr val="FF0000"/>
                </a:gs>
                <a:gs pos="100000">
                  <a:schemeClr val="accent1">
                    <a:lumMod val="45000"/>
                    <a:lumOff val="55000"/>
                  </a:schemeClr>
                </a:gs>
                <a:gs pos="100000">
                  <a:schemeClr val="accent1">
                    <a:lumMod val="30000"/>
                    <a:lumOff val="70000"/>
                  </a:schemeClr>
                </a:gs>
              </a:gsLst>
              <a:lin ang="10800000" scaled="1"/>
              <a:tileRect/>
            </a:gra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999382751246538E-2"/>
          <c:y val="0.35653752044338854"/>
          <c:w val="0.92407677165354329"/>
          <c:h val="0.37897842923725827"/>
        </c:manualLayout>
      </c:layout>
      <c:lineChart>
        <c:grouping val="standard"/>
        <c:varyColors val="0"/>
        <c:ser>
          <c:idx val="0"/>
          <c:order val="0"/>
          <c:tx>
            <c:strRef>
              <c:f>'pivot table'!$AH$3</c:f>
              <c:strCache>
                <c:ptCount val="1"/>
                <c:pt idx="0">
                  <c:v>Total</c:v>
                </c:pt>
              </c:strCache>
            </c:strRef>
          </c:tx>
          <c:spPr>
            <a:ln w="28575" cap="rnd">
              <a:gradFill flip="none" rotWithShape="1">
                <a:gsLst>
                  <a:gs pos="0">
                    <a:srgbClr val="00FFFF"/>
                  </a:gs>
                  <a:gs pos="100000">
                    <a:srgbClr val="FF0000"/>
                  </a:gs>
                  <a:gs pos="100000">
                    <a:schemeClr val="accent1">
                      <a:lumMod val="45000"/>
                      <a:lumOff val="55000"/>
                    </a:schemeClr>
                  </a:gs>
                  <a:gs pos="100000">
                    <a:schemeClr val="accent1">
                      <a:lumMod val="30000"/>
                      <a:lumOff val="70000"/>
                    </a:schemeClr>
                  </a:gs>
                </a:gsLst>
                <a:lin ang="10800000" scaled="1"/>
                <a:tileRect/>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table'!$AG$4:$AG$15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table'!$AH$4:$AH$15</c:f>
              <c:numCache>
                <c:formatCode>General</c:formatCode>
                <c:ptCount val="12"/>
                <c:pt idx="0">
                  <c:v>507</c:v>
                </c:pt>
                <c:pt idx="1">
                  <c:v>490</c:v>
                </c:pt>
                <c:pt idx="2">
                  <c:v>440</c:v>
                </c:pt>
                <c:pt idx="3">
                  <c:v>360</c:v>
                </c:pt>
                <c:pt idx="4">
                  <c:v>415</c:v>
                </c:pt>
                <c:pt idx="5">
                  <c:v>484</c:v>
                </c:pt>
                <c:pt idx="6">
                  <c:v>379</c:v>
                </c:pt>
                <c:pt idx="7">
                  <c:v>481</c:v>
                </c:pt>
                <c:pt idx="8">
                  <c:v>486</c:v>
                </c:pt>
                <c:pt idx="9">
                  <c:v>440</c:v>
                </c:pt>
                <c:pt idx="10">
                  <c:v>395</c:v>
                </c:pt>
                <c:pt idx="11">
                  <c:v>516</c:v>
                </c:pt>
              </c:numCache>
            </c:numRef>
          </c:val>
          <c:smooth val="0"/>
          <c:extLst>
            <c:ext xmlns:c16="http://schemas.microsoft.com/office/drawing/2014/chart" uri="{C3380CC4-5D6E-409C-BE32-E72D297353CC}">
              <c16:uniqueId val="{00000004-895A-45C8-A833-CF5DAB47F5C3}"/>
            </c:ext>
          </c:extLst>
        </c:ser>
        <c:dLbls>
          <c:showLegendKey val="0"/>
          <c:showVal val="0"/>
          <c:showCatName val="0"/>
          <c:showSerName val="0"/>
          <c:showPercent val="0"/>
          <c:showBubbleSize val="0"/>
        </c:dLbls>
        <c:smooth val="0"/>
        <c:axId val="255722376"/>
        <c:axId val="251961984"/>
      </c:lineChart>
      <c:catAx>
        <c:axId val="255722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1961984"/>
        <c:crosses val="autoZero"/>
        <c:auto val="1"/>
        <c:lblAlgn val="ctr"/>
        <c:lblOffset val="100"/>
        <c:noMultiLvlLbl val="0"/>
      </c:catAx>
      <c:valAx>
        <c:axId val="251961984"/>
        <c:scaling>
          <c:orientation val="minMax"/>
        </c:scaling>
        <c:delete val="1"/>
        <c:axPos val="l"/>
        <c:numFmt formatCode="General" sourceLinked="1"/>
        <c:majorTickMark val="out"/>
        <c:minorTickMark val="none"/>
        <c:tickLblPos val="nextTo"/>
        <c:crossAx val="255722376"/>
        <c:crosses val="autoZero"/>
        <c:crossBetween val="between"/>
      </c:valAx>
      <c:spPr>
        <a:noFill/>
        <a:ln>
          <a:noFill/>
        </a:ln>
        <a:effectLst/>
      </c:spPr>
    </c:plotArea>
    <c:plotVisOnly val="1"/>
    <c:dispBlanksAs val="gap"/>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937780757290285"/>
          <c:y val="1.7685095294116829E-2"/>
          <c:w val="0.54036593949100487"/>
          <c:h val="0.92867522158008664"/>
        </c:manualLayout>
      </c:layout>
      <c:barChart>
        <c:barDir val="bar"/>
        <c:grouping val="clustered"/>
        <c:varyColors val="0"/>
        <c:ser>
          <c:idx val="0"/>
          <c:order val="0"/>
          <c:spPr>
            <a:gradFill>
              <a:gsLst>
                <a:gs pos="100000">
                  <a:srgbClr val="00FFFF"/>
                </a:gs>
                <a:gs pos="100000">
                  <a:schemeClr val="bg1"/>
                </a:gs>
                <a:gs pos="100000">
                  <a:schemeClr val="accent1">
                    <a:lumMod val="45000"/>
                    <a:lumOff val="55000"/>
                  </a:schemeClr>
                </a:gs>
                <a:gs pos="5000">
                  <a:schemeClr val="tx1"/>
                </a:gs>
              </a:gsLst>
              <a:lin ang="10800000" scaled="1"/>
            </a:gra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ln>
                      <a:noFill/>
                    </a:ln>
                    <a:solidFill>
                      <a:schemeClr val="bg1">
                        <a:alpha val="68000"/>
                      </a:schemeClr>
                    </a:solidFill>
                    <a:effectLst>
                      <a:reflection endPos="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1"/>
                <c15:leaderLines>
                  <c:spPr>
                    <a:ln w="9525" cap="flat" cmpd="sng" algn="ctr">
                      <a:solidFill>
                        <a:schemeClr val="tx1">
                          <a:lumMod val="35000"/>
                          <a:lumOff val="65000"/>
                        </a:schemeClr>
                      </a:solidFill>
                      <a:round/>
                    </a:ln>
                    <a:effectLst/>
                  </c:spPr>
                </c15:leaderLines>
              </c:ext>
            </c:extLst>
          </c:dLbls>
          <c:cat>
            <c:multiLvlStrRef>
              <c:f>'pivot table'!$T$13:$U$18</c:f>
              <c:multiLvlStrCache>
                <c:ptCount val="6"/>
                <c:lvl>
                  <c:pt idx="0">
                    <c:v>Accessories</c:v>
                  </c:pt>
                  <c:pt idx="1">
                    <c:v>Binders</c:v>
                  </c:pt>
                  <c:pt idx="2">
                    <c:v>Chairs</c:v>
                  </c:pt>
                  <c:pt idx="3">
                    <c:v>Paper</c:v>
                  </c:pt>
                  <c:pt idx="4">
                    <c:v>Phones</c:v>
                  </c:pt>
                  <c:pt idx="5">
                    <c:v>Tables</c:v>
                  </c:pt>
                </c:lvl>
                <c:lvl>
                  <c:pt idx="0">
                    <c:v>3</c:v>
                  </c:pt>
                  <c:pt idx="1">
                    <c:v>1</c:v>
                  </c:pt>
                  <c:pt idx="2">
                    <c:v>6</c:v>
                  </c:pt>
                  <c:pt idx="3">
                    <c:v>2</c:v>
                  </c:pt>
                  <c:pt idx="4">
                    <c:v>4</c:v>
                  </c:pt>
                  <c:pt idx="5">
                    <c:v>5</c:v>
                  </c:pt>
                </c:lvl>
              </c:multiLvlStrCache>
            </c:multiLvlStrRef>
          </c:cat>
          <c:val>
            <c:numRef>
              <c:f>'pivot table'!$V$13:$V$18</c:f>
              <c:numCache>
                <c:formatCode>General</c:formatCode>
                <c:ptCount val="6"/>
                <c:pt idx="0">
                  <c:v>44605.17</c:v>
                </c:pt>
                <c:pt idx="1">
                  <c:v>48349.859999999979</c:v>
                </c:pt>
                <c:pt idx="2">
                  <c:v>37054.329999999994</c:v>
                </c:pt>
                <c:pt idx="3">
                  <c:v>45047.510000000031</c:v>
                </c:pt>
                <c:pt idx="4">
                  <c:v>39721.400000000009</c:v>
                </c:pt>
                <c:pt idx="5">
                  <c:v>38358.910000000003</c:v>
                </c:pt>
              </c:numCache>
            </c:numRef>
          </c:val>
          <c:extLst>
            <c:ext xmlns:c16="http://schemas.microsoft.com/office/drawing/2014/chart" uri="{C3380CC4-5D6E-409C-BE32-E72D297353CC}">
              <c16:uniqueId val="{00000000-D23A-417B-9D3C-E16B306C3398}"/>
            </c:ext>
          </c:extLst>
        </c:ser>
        <c:dLbls>
          <c:dLblPos val="outEnd"/>
          <c:showLegendKey val="0"/>
          <c:showVal val="1"/>
          <c:showCatName val="0"/>
          <c:showSerName val="0"/>
          <c:showPercent val="0"/>
          <c:showBubbleSize val="0"/>
        </c:dLbls>
        <c:gapWidth val="182"/>
        <c:axId val="314994272"/>
        <c:axId val="314997552"/>
      </c:barChart>
      <c:catAx>
        <c:axId val="314994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4997552"/>
        <c:crosses val="autoZero"/>
        <c:auto val="1"/>
        <c:lblAlgn val="ctr"/>
        <c:lblOffset val="100"/>
        <c:noMultiLvlLbl val="0"/>
      </c:catAx>
      <c:valAx>
        <c:axId val="3149975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94272"/>
        <c:crosses val="autoZero"/>
        <c:crossBetween val="between"/>
      </c:valAx>
      <c:spPr>
        <a:noFill/>
        <a:ln>
          <a:noFill/>
        </a:ln>
        <a:effectLst/>
      </c:spPr>
    </c:plotArea>
    <c:plotVisOnly val="1"/>
    <c:dispBlanksAs val="gap"/>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solidFill>
          <a:srgbClr val="111111"/>
        </a:solidFill>
        <a:ln>
          <a:noFill/>
        </a:ln>
        <a:effectLst/>
        <a:sp3d/>
      </c:spPr>
    </c:sideWall>
    <c:backWall>
      <c:thickness val="0"/>
      <c:spPr>
        <a:solidFill>
          <a:srgbClr val="111111"/>
        </a:solidFill>
        <a:ln>
          <a:noFill/>
        </a:ln>
        <a:effectLst/>
        <a:sp3d/>
      </c:spPr>
    </c:backWall>
    <c:plotArea>
      <c:layout>
        <c:manualLayout>
          <c:layoutTarget val="inner"/>
          <c:xMode val="edge"/>
          <c:yMode val="edge"/>
          <c:x val="6.0350890532038246E-3"/>
          <c:y val="0.15668026452336306"/>
          <c:w val="0.99396491094679618"/>
          <c:h val="0.78532000228097842"/>
        </c:manualLayout>
      </c:layout>
      <c:bar3DChart>
        <c:barDir val="col"/>
        <c:grouping val="stacked"/>
        <c:varyColors val="0"/>
        <c:ser>
          <c:idx val="0"/>
          <c:order val="0"/>
          <c:spPr>
            <a:gradFill flip="none" rotWithShape="1">
              <a:gsLst>
                <a:gs pos="2000">
                  <a:schemeClr val="tx1"/>
                </a:gs>
                <a:gs pos="100000">
                  <a:schemeClr val="tx2"/>
                </a:gs>
                <a:gs pos="100000">
                  <a:schemeClr val="accent1">
                    <a:lumMod val="45000"/>
                    <a:lumOff val="55000"/>
                  </a:schemeClr>
                </a:gs>
                <a:gs pos="100000">
                  <a:schemeClr val="accent1">
                    <a:lumMod val="30000"/>
                    <a:lumOff val="70000"/>
                  </a:schemeClr>
                </a:gs>
              </a:gsLst>
              <a:lin ang="8100000" scaled="1"/>
              <a:tileRect/>
            </a:gradFill>
            <a:ln>
              <a:noFill/>
            </a:ln>
            <a:effectLst/>
            <a:sp3d/>
          </c:spPr>
          <c:invertIfNegative val="0"/>
          <c:dLbls>
            <c:delete val="1"/>
          </c:dLbls>
          <c:val>
            <c:numRef>
              <c:f>'pivot table'!$AD$3:$AD$8</c:f>
              <c:numCache>
                <c:formatCode>General</c:formatCode>
                <c:ptCount val="6"/>
                <c:pt idx="0">
                  <c:v>2020</c:v>
                </c:pt>
                <c:pt idx="1">
                  <c:v>2021</c:v>
                </c:pt>
                <c:pt idx="2">
                  <c:v>2022</c:v>
                </c:pt>
                <c:pt idx="3">
                  <c:v>2023</c:v>
                </c:pt>
                <c:pt idx="4">
                  <c:v>2024</c:v>
                </c:pt>
                <c:pt idx="5">
                  <c:v>2025</c:v>
                </c:pt>
              </c:numCache>
            </c:numRef>
          </c:val>
          <c:extLst>
            <c:ext xmlns:c16="http://schemas.microsoft.com/office/drawing/2014/chart" uri="{C3380CC4-5D6E-409C-BE32-E72D297353CC}">
              <c16:uniqueId val="{00000000-9301-4634-AAFD-589B52DD84A6}"/>
            </c:ext>
          </c:extLst>
        </c:ser>
        <c:ser>
          <c:idx val="1"/>
          <c:order val="1"/>
          <c:spPr>
            <a:gradFill flip="none" rotWithShape="1">
              <a:gsLst>
                <a:gs pos="100000">
                  <a:srgbClr val="00FFFF"/>
                </a:gs>
                <a:gs pos="100000">
                  <a:schemeClr val="bg1"/>
                </a:gs>
                <a:gs pos="100000">
                  <a:schemeClr val="accent1">
                    <a:lumMod val="45000"/>
                    <a:lumOff val="55000"/>
                  </a:schemeClr>
                </a:gs>
                <a:gs pos="100000">
                  <a:srgbClr val="00FFFF"/>
                </a:gs>
                <a:gs pos="5000">
                  <a:schemeClr val="tx1"/>
                </a:gs>
              </a:gsLst>
              <a:lin ang="16200000" scaled="1"/>
              <a:tileRect/>
            </a:gradFill>
            <a:ln>
              <a:noFill/>
            </a:ln>
            <a:effectLst/>
            <a:sp3d/>
          </c:spPr>
          <c:invertIfNegative val="0"/>
          <c:dLbls>
            <c:dLbl>
              <c:idx val="0"/>
              <c:layout>
                <c:manualLayout>
                  <c:x val="0"/>
                  <c:y val="-0.4363709157763797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301-4634-AAFD-589B52DD84A6}"/>
                </c:ext>
              </c:extLst>
            </c:dLbl>
            <c:dLbl>
              <c:idx val="1"/>
              <c:layout>
                <c:manualLayout>
                  <c:x val="-2.7660505290666716E-17"/>
                  <c:y val="-0.3794529702403302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9301-4634-AAFD-589B52DD84A6}"/>
                </c:ext>
              </c:extLst>
            </c:dLbl>
            <c:dLbl>
              <c:idx val="2"/>
              <c:layout>
                <c:manualLayout>
                  <c:x val="-1.8105029557680299E-2"/>
                  <c:y val="-0.43637091577637971"/>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bg1">
                          <a:alpha val="76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491959550647224"/>
                      <c:h val="8.9307891725435407E-2"/>
                    </c:manualLayout>
                  </c15:layout>
                </c:ext>
                <c:ext xmlns:c16="http://schemas.microsoft.com/office/drawing/2014/chart" uri="{C3380CC4-5D6E-409C-BE32-E72D297353CC}">
                  <c16:uniqueId val="{00000004-9301-4634-AAFD-589B52DD84A6}"/>
                </c:ext>
              </c:extLst>
            </c:dLbl>
            <c:dLbl>
              <c:idx val="3"/>
              <c:layout>
                <c:manualLayout>
                  <c:x val="-1.2070178106407594E-2"/>
                  <c:y val="-0.379452970240330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9301-4634-AAFD-589B52DD84A6}"/>
                </c:ext>
              </c:extLst>
            </c:dLbl>
            <c:dLbl>
              <c:idx val="4"/>
              <c:layout>
                <c:manualLayout>
                  <c:x val="-1.207017810640776E-2"/>
                  <c:y val="-0.474316212800412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9301-4634-AAFD-589B52DD84A6}"/>
                </c:ext>
              </c:extLst>
            </c:dLbl>
            <c:dLbl>
              <c:idx val="5"/>
              <c:layout>
                <c:manualLayout>
                  <c:x val="6.8363092401642362E-3"/>
                  <c:y val="-0.3616543747267577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9301-4634-AAFD-589B52DD84A6}"/>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alpha val="76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val>
            <c:numRef>
              <c:f>'pivot table'!$AE$3:$AE$8</c:f>
              <c:numCache>
                <c:formatCode>General</c:formatCode>
                <c:ptCount val="6"/>
                <c:pt idx="0">
                  <c:v>44580.210000000006</c:v>
                </c:pt>
                <c:pt idx="1">
                  <c:v>42007.380000000005</c:v>
                </c:pt>
                <c:pt idx="2">
                  <c:v>46091.340000000004</c:v>
                </c:pt>
                <c:pt idx="3">
                  <c:v>41814.540000000015</c:v>
                </c:pt>
                <c:pt idx="4">
                  <c:v>38783.679999999993</c:v>
                </c:pt>
                <c:pt idx="5">
                  <c:v>39860.03</c:v>
                </c:pt>
              </c:numCache>
            </c:numRef>
          </c:val>
          <c:extLst>
            <c:ext xmlns:c16="http://schemas.microsoft.com/office/drawing/2014/chart" uri="{C3380CC4-5D6E-409C-BE32-E72D297353CC}">
              <c16:uniqueId val="{00000001-9301-4634-AAFD-589B52DD84A6}"/>
            </c:ext>
          </c:extLst>
        </c:ser>
        <c:dLbls>
          <c:showLegendKey val="0"/>
          <c:showVal val="1"/>
          <c:showCatName val="0"/>
          <c:showSerName val="0"/>
          <c:showPercent val="0"/>
          <c:showBubbleSize val="0"/>
        </c:dLbls>
        <c:gapWidth val="150"/>
        <c:shape val="box"/>
        <c:axId val="344757048"/>
        <c:axId val="344759344"/>
        <c:axId val="0"/>
      </c:bar3DChart>
      <c:catAx>
        <c:axId val="344757048"/>
        <c:scaling>
          <c:orientation val="minMax"/>
        </c:scaling>
        <c:delete val="1"/>
        <c:axPos val="b"/>
        <c:majorTickMark val="none"/>
        <c:minorTickMark val="none"/>
        <c:tickLblPos val="nextTo"/>
        <c:crossAx val="344759344"/>
        <c:crosses val="autoZero"/>
        <c:auto val="1"/>
        <c:lblAlgn val="ctr"/>
        <c:lblOffset val="100"/>
        <c:noMultiLvlLbl val="0"/>
      </c:catAx>
      <c:valAx>
        <c:axId val="344759344"/>
        <c:scaling>
          <c:orientation val="minMax"/>
        </c:scaling>
        <c:delete val="1"/>
        <c:axPos val="l"/>
        <c:numFmt formatCode="General" sourceLinked="1"/>
        <c:majorTickMark val="none"/>
        <c:minorTickMark val="none"/>
        <c:tickLblPos val="nextTo"/>
        <c:crossAx val="344757048"/>
        <c:crosses val="autoZero"/>
        <c:crossBetween val="between"/>
      </c:valAx>
      <c:spPr>
        <a:noFill/>
        <a:ln>
          <a:noFill/>
        </a:ln>
        <a:effectLst/>
      </c:spPr>
    </c:plotArea>
    <c:plotVisOnly val="1"/>
    <c:dispBlanksAs val="gap"/>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effectLst>
              <a:glow rad="12700">
                <a:schemeClr val="accent1">
                  <a:alpha val="57000"/>
                </a:schemeClr>
              </a:glow>
            </a:effectLst>
          </c:spPr>
          <c:dPt>
            <c:idx val="0"/>
            <c:bubble3D val="0"/>
            <c:spPr>
              <a:gradFill>
                <a:gsLst>
                  <a:gs pos="0">
                    <a:srgbClr val="00FFFF">
                      <a:shade val="30000"/>
                      <a:satMod val="115000"/>
                    </a:srgbClr>
                  </a:gs>
                  <a:gs pos="70000">
                    <a:srgbClr val="00FFFF">
                      <a:shade val="67500"/>
                      <a:satMod val="115000"/>
                    </a:srgbClr>
                  </a:gs>
                  <a:gs pos="100000">
                    <a:srgbClr val="00FFFF">
                      <a:shade val="100000"/>
                      <a:satMod val="115000"/>
                    </a:srgbClr>
                  </a:gs>
                </a:gsLst>
                <a:lin ang="8100000" scaled="1"/>
              </a:gradFill>
              <a:ln w="19050">
                <a:noFill/>
              </a:ln>
              <a:effectLst>
                <a:glow rad="12700">
                  <a:schemeClr val="accent1">
                    <a:alpha val="57000"/>
                  </a:schemeClr>
                </a:glow>
              </a:effectLst>
            </c:spPr>
            <c:extLst>
              <c:ext xmlns:c16="http://schemas.microsoft.com/office/drawing/2014/chart" uri="{C3380CC4-5D6E-409C-BE32-E72D297353CC}">
                <c16:uniqueId val="{00000001-0655-4011-AC2B-530AE25AF71E}"/>
              </c:ext>
            </c:extLst>
          </c:dPt>
          <c:dPt>
            <c:idx val="1"/>
            <c:bubble3D val="0"/>
            <c:spPr>
              <a:solidFill>
                <a:schemeClr val="accent2"/>
              </a:solidFill>
              <a:ln w="19050">
                <a:noFill/>
              </a:ln>
              <a:effectLst>
                <a:glow rad="12700">
                  <a:schemeClr val="accent1">
                    <a:alpha val="57000"/>
                  </a:schemeClr>
                </a:glow>
              </a:effectLst>
            </c:spPr>
            <c:extLst>
              <c:ext xmlns:c16="http://schemas.microsoft.com/office/drawing/2014/chart" uri="{C3380CC4-5D6E-409C-BE32-E72D297353CC}">
                <c16:uniqueId val="{00000003-0655-4011-AC2B-530AE25AF71E}"/>
              </c:ext>
            </c:extLst>
          </c:dPt>
          <c:dPt>
            <c:idx val="2"/>
            <c:bubble3D val="0"/>
            <c:spPr>
              <a:solidFill>
                <a:schemeClr val="accent3"/>
              </a:solidFill>
              <a:ln w="19050">
                <a:noFill/>
              </a:ln>
              <a:effectLst>
                <a:glow rad="12700">
                  <a:schemeClr val="accent1">
                    <a:alpha val="57000"/>
                  </a:schemeClr>
                </a:glow>
              </a:effectLst>
            </c:spPr>
            <c:extLst>
              <c:ext xmlns:c16="http://schemas.microsoft.com/office/drawing/2014/chart" uri="{C3380CC4-5D6E-409C-BE32-E72D297353CC}">
                <c16:uniqueId val="{00000005-0655-4011-AC2B-530AE25AF71E}"/>
              </c:ext>
            </c:extLst>
          </c:dPt>
          <c:dPt>
            <c:idx val="3"/>
            <c:bubble3D val="0"/>
            <c:spPr>
              <a:solidFill>
                <a:schemeClr val="accent4"/>
              </a:solidFill>
              <a:ln w="19050">
                <a:noFill/>
              </a:ln>
              <a:effectLst>
                <a:glow rad="12700">
                  <a:schemeClr val="accent1">
                    <a:alpha val="57000"/>
                  </a:schemeClr>
                </a:glow>
              </a:effectLst>
            </c:spPr>
            <c:extLst>
              <c:ext xmlns:c16="http://schemas.microsoft.com/office/drawing/2014/chart" uri="{C3380CC4-5D6E-409C-BE32-E72D297353CC}">
                <c16:uniqueId val="{00000007-0655-4011-AC2B-530AE25AF71E}"/>
              </c:ext>
            </c:extLst>
          </c:dPt>
          <c:cat>
            <c:strRef>
              <c:f>'pivot table'!$J$3:$J$6</c:f>
              <c:strCache>
                <c:ptCount val="4"/>
                <c:pt idx="0">
                  <c:v>First Class</c:v>
                </c:pt>
                <c:pt idx="1">
                  <c:v>Same Day</c:v>
                </c:pt>
                <c:pt idx="2">
                  <c:v>Second Class</c:v>
                </c:pt>
                <c:pt idx="3">
                  <c:v>Standard Class</c:v>
                </c:pt>
              </c:strCache>
            </c:strRef>
          </c:cat>
          <c:val>
            <c:numRef>
              <c:f>'pivot table'!$K$3:$K$6</c:f>
              <c:numCache>
                <c:formatCode>General</c:formatCode>
                <c:ptCount val="4"/>
                <c:pt idx="0">
                  <c:v>71916.050000000017</c:v>
                </c:pt>
                <c:pt idx="1">
                  <c:v>59727.350000000035</c:v>
                </c:pt>
                <c:pt idx="2">
                  <c:v>56533.060000000005</c:v>
                </c:pt>
                <c:pt idx="3">
                  <c:v>64960.719999999972</c:v>
                </c:pt>
              </c:numCache>
            </c:numRef>
          </c:val>
          <c:extLst>
            <c:ext xmlns:c16="http://schemas.microsoft.com/office/drawing/2014/chart" uri="{C3380CC4-5D6E-409C-BE32-E72D297353CC}">
              <c16:uniqueId val="{00000008-0655-4011-AC2B-530AE25AF71E}"/>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alpha val="83000"/>
                </a:schemeClr>
              </a:solidFill>
              <a:latin typeface="+mn-lt"/>
              <a:ea typeface="+mn-ea"/>
              <a:cs typeface="+mn-cs"/>
            </a:defRPr>
          </a:pPr>
          <a:endParaRPr lang="en-US"/>
        </a:p>
      </c:txPr>
    </c:legend>
    <c:plotVisOnly val="1"/>
    <c:dispBlanksAs val="gap"/>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numDim type="size">
        <cx:f>_xlchart.0</cx:f>
      </cx:numDim>
    </cx:data>
    <cx:data id="1">
      <cx:numDim type="size">
        <cx:f>_xlchart.1</cx:f>
      </cx:numDim>
    </cx:data>
    <cx:data id="2">
      <cx:numDim type="size">
        <cx:f>_xlchart.2</cx:f>
      </cx:numDim>
    </cx:data>
  </cx:chartData>
  <cx:chart>
    <cx:plotArea>
      <cx:plotAreaRegion>
        <cx:series layoutId="treemap" uniqueId="{FA98663D-8AF6-4685-A43E-F907C65DA492}" formatIdx="0">
          <cx:spPr>
            <a:ln>
              <a:noFill/>
            </a:ln>
          </cx:spPr>
          <cx:dataPt idx="0">
            <cx:spPr>
              <a:solidFill>
                <a:srgbClr val="00CCFF"/>
              </a:solidFill>
            </cx:spPr>
          </cx:dataPt>
          <cx:dataId val="0"/>
          <cx:layoutPr/>
        </cx:series>
        <cx:series layoutId="treemap" hidden="1" uniqueId="{8BA980C9-1142-4540-B180-2C3FAE6DAC3B}" formatIdx="1">
          <cx:dataId val="1"/>
          <cx:layoutPr/>
        </cx:series>
        <cx:series layoutId="treemap" hidden="1" uniqueId="{9D03B967-565F-4124-BCE0-EF00CEAEBFD0}" formatIdx="2">
          <cx:dataId val="2"/>
          <cx:layoutPr/>
        </cx:series>
      </cx:plotAreaRegion>
    </cx:plotArea>
    <cx:legend pos="b" align="ctr" overlay="0">
      <cx:txPr>
        <a:bodyPr spcFirstLastPara="1" vertOverflow="ellipsis" wrap="square" lIns="0" tIns="0" rIns="0" bIns="0" anchor="ctr" anchorCtr="1"/>
        <a:lstStyle/>
        <a:p>
          <a:pPr>
            <a:defRPr>
              <a:solidFill>
                <a:schemeClr val="bg1">
                  <a:alpha val="86000"/>
                </a:schemeClr>
              </a:solidFill>
            </a:defRPr>
          </a:pPr>
          <a:endParaRPr lang="en-US">
            <a:solidFill>
              <a:schemeClr val="bg1">
                <a:alpha val="86000"/>
              </a:schemeClr>
            </a:solidFill>
          </a:endParaRPr>
        </a:p>
      </cx:txPr>
    </cx:legend>
  </cx:chart>
  <cx:spPr>
    <a:solidFill>
      <a:srgbClr val="111111"/>
    </a:solidFill>
    <a:ln>
      <a:noFill/>
    </a:ln>
  </cx:spPr>
  <cx:clrMapOvr bg1="lt1" tx1="dk1" bg2="lt2" tx2="dk2" accent1="accent1" accent2="accent2" accent3="accent3" accent4="accent4" accent5="accent5" accent6="accent6" hlink="hlink" folHlink="folHlink"/>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gradFill>
                <a:gsLst>
                  <a:gs pos="0">
                    <a:srgbClr val="FF0000"/>
                  </a:gs>
                  <a:gs pos="99000">
                    <a:srgbClr val="00FFFF"/>
                  </a:gs>
                  <a:gs pos="95000">
                    <a:schemeClr val="accent1">
                      <a:lumMod val="45000"/>
                      <a:lumOff val="55000"/>
                    </a:schemeClr>
                  </a:gs>
                  <a:gs pos="100000">
                    <a:schemeClr val="accent1">
                      <a:lumMod val="30000"/>
                      <a:lumOff val="70000"/>
                    </a:schemeClr>
                  </a:gs>
                </a:gsLst>
                <a:lin ang="5400000" scaled="1"/>
              </a:gradFill>
              <a:round/>
            </a:ln>
            <a:effectLst/>
          </c:spPr>
          <c:marker>
            <c:symbol val="none"/>
          </c:marker>
          <c:dLbls>
            <c:spPr>
              <a:gradFill flip="none" rotWithShape="1">
                <a:gsLst>
                  <a:gs pos="12000">
                    <a:schemeClr val="tx2">
                      <a:lumMod val="60000"/>
                      <a:lumOff val="40000"/>
                    </a:schemeClr>
                  </a:gs>
                  <a:gs pos="83000">
                    <a:srgbClr val="FF0000"/>
                  </a:gs>
                </a:gsLst>
                <a:lin ang="2700000" scaled="1"/>
                <a:tileRect/>
              </a:gra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 table'!$AT$3:$AT$5</c:f>
              <c:strCache>
                <c:ptCount val="3"/>
                <c:pt idx="0">
                  <c:v>Furniture</c:v>
                </c:pt>
                <c:pt idx="1">
                  <c:v>Office Supplies</c:v>
                </c:pt>
                <c:pt idx="2">
                  <c:v>Technology</c:v>
                </c:pt>
              </c:strCache>
            </c:strRef>
          </c:cat>
          <c:val>
            <c:numRef>
              <c:f>'pivot table'!$AU$3:$AU$5</c:f>
              <c:numCache>
                <c:formatCode>General</c:formatCode>
                <c:ptCount val="3"/>
                <c:pt idx="0">
                  <c:v>75413.240000000034</c:v>
                </c:pt>
                <c:pt idx="1">
                  <c:v>93397.369999999952</c:v>
                </c:pt>
                <c:pt idx="2">
                  <c:v>84326.56999999992</c:v>
                </c:pt>
              </c:numCache>
            </c:numRef>
          </c:val>
          <c:extLst>
            <c:ext xmlns:c16="http://schemas.microsoft.com/office/drawing/2014/chart" uri="{C3380CC4-5D6E-409C-BE32-E72D297353CC}">
              <c16:uniqueId val="{00000000-D182-458E-A8FD-FE92A78BB17E}"/>
            </c:ext>
          </c:extLst>
        </c:ser>
        <c:dLbls>
          <c:showLegendKey val="0"/>
          <c:showVal val="0"/>
          <c:showCatName val="0"/>
          <c:showSerName val="0"/>
          <c:showPercent val="0"/>
          <c:showBubbleSize val="0"/>
        </c:dLbls>
        <c:axId val="346830824"/>
        <c:axId val="346831152"/>
      </c:radarChart>
      <c:catAx>
        <c:axId val="346830824"/>
        <c:scaling>
          <c:orientation val="minMax"/>
        </c:scaling>
        <c:delete val="1"/>
        <c:axPos val="b"/>
        <c:numFmt formatCode="General" sourceLinked="1"/>
        <c:majorTickMark val="none"/>
        <c:minorTickMark val="none"/>
        <c:tickLblPos val="nextTo"/>
        <c:crossAx val="346831152"/>
        <c:crosses val="autoZero"/>
        <c:auto val="1"/>
        <c:lblAlgn val="ctr"/>
        <c:lblOffset val="100"/>
        <c:noMultiLvlLbl val="0"/>
      </c:catAx>
      <c:valAx>
        <c:axId val="3468311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46830824"/>
        <c:crosses val="autoZero"/>
        <c:crossBetween val="between"/>
      </c:valAx>
      <c:spPr>
        <a:noFill/>
        <a:ln>
          <a:noFill/>
        </a:ln>
        <a:effectLst/>
      </c:spPr>
    </c:plotArea>
    <c:plotVisOnly val="1"/>
    <c:dispBlanksAs val="gap"/>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533255846696283E-2"/>
          <c:y val="5.1305461405769644E-2"/>
          <c:w val="0.86684480604875069"/>
          <c:h val="0.7605745134397417"/>
        </c:manualLayout>
      </c:layout>
      <c:areaChart>
        <c:grouping val="standard"/>
        <c:varyColors val="0"/>
        <c:ser>
          <c:idx val="0"/>
          <c:order val="0"/>
          <c:spPr>
            <a:gradFill rotWithShape="1">
              <a:gsLst>
                <a:gs pos="83000">
                  <a:srgbClr val="0C5959"/>
                </a:gs>
                <a:gs pos="0">
                  <a:srgbClr val="00FFFF"/>
                </a:gs>
                <a:gs pos="100000">
                  <a:srgbClr val="111111"/>
                </a:gs>
                <a:gs pos="100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40000" dist="20000" dir="5400000" rotWithShape="0">
                <a:srgbClr val="000000">
                  <a:alpha val="38000"/>
                </a:srgbClr>
              </a:outerShdw>
            </a:effectLst>
          </c:spPr>
          <c:cat>
            <c:strRef>
              <c:f>'pivot table'!$AT$3:$AT$5</c:f>
              <c:strCache>
                <c:ptCount val="3"/>
                <c:pt idx="0">
                  <c:v>Furniture</c:v>
                </c:pt>
                <c:pt idx="1">
                  <c:v>Office Supplies</c:v>
                </c:pt>
                <c:pt idx="2">
                  <c:v>Technology</c:v>
                </c:pt>
              </c:strCache>
            </c:strRef>
          </c:cat>
          <c:val>
            <c:numRef>
              <c:f>'pivot table'!$AU$3:$AU$5</c:f>
              <c:numCache>
                <c:formatCode>General</c:formatCode>
                <c:ptCount val="3"/>
                <c:pt idx="0">
                  <c:v>75413.240000000034</c:v>
                </c:pt>
                <c:pt idx="1">
                  <c:v>93397.369999999952</c:v>
                </c:pt>
                <c:pt idx="2">
                  <c:v>84326.56999999992</c:v>
                </c:pt>
              </c:numCache>
            </c:numRef>
          </c:val>
          <c:extLst>
            <c:ext xmlns:c16="http://schemas.microsoft.com/office/drawing/2014/chart" uri="{C3380CC4-5D6E-409C-BE32-E72D297353CC}">
              <c16:uniqueId val="{00000000-A00F-4412-BF92-AF7B5BAB2393}"/>
            </c:ext>
          </c:extLst>
        </c:ser>
        <c:dLbls>
          <c:showLegendKey val="0"/>
          <c:showVal val="0"/>
          <c:showCatName val="0"/>
          <c:showSerName val="0"/>
          <c:showPercent val="0"/>
          <c:showBubbleSize val="0"/>
        </c:dLbls>
        <c:axId val="345864832"/>
        <c:axId val="345863848"/>
      </c:areaChart>
      <c:catAx>
        <c:axId val="345864832"/>
        <c:scaling>
          <c:orientation val="minMax"/>
        </c:scaling>
        <c:delete val="1"/>
        <c:axPos val="b"/>
        <c:numFmt formatCode="General" sourceLinked="1"/>
        <c:majorTickMark val="out"/>
        <c:minorTickMark val="none"/>
        <c:tickLblPos val="nextTo"/>
        <c:crossAx val="345863848"/>
        <c:crosses val="autoZero"/>
        <c:auto val="1"/>
        <c:lblAlgn val="ctr"/>
        <c:lblOffset val="100"/>
        <c:noMultiLvlLbl val="0"/>
      </c:catAx>
      <c:valAx>
        <c:axId val="345863848"/>
        <c:scaling>
          <c:orientation val="minMax"/>
        </c:scaling>
        <c:delete val="1"/>
        <c:axPos val="l"/>
        <c:numFmt formatCode="General" sourceLinked="1"/>
        <c:majorTickMark val="none"/>
        <c:minorTickMark val="none"/>
        <c:tickLblPos val="nextTo"/>
        <c:crossAx val="345864832"/>
        <c:crosses val="autoZero"/>
        <c:crossBetween val="midCat"/>
      </c:valAx>
      <c:spPr>
        <a:noFill/>
        <a:ln>
          <a:noFill/>
        </a:ln>
        <a:effectLst/>
      </c:spPr>
    </c:plotArea>
    <c:plotVisOnly val="1"/>
    <c:dispBlanksAs val="zero"/>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770441357451089E-2"/>
          <c:y val="0"/>
          <c:w val="0.9553825977375815"/>
          <c:h val="0.9346525924854483"/>
        </c:manualLayout>
      </c:layout>
      <c:areaChart>
        <c:grouping val="standard"/>
        <c:varyColors val="0"/>
        <c:ser>
          <c:idx val="0"/>
          <c:order val="0"/>
          <c:spPr>
            <a:gradFill rotWithShape="1">
              <a:gsLst>
                <a:gs pos="74000">
                  <a:srgbClr val="0C5959"/>
                </a:gs>
                <a:gs pos="0">
                  <a:srgbClr val="00FFFF"/>
                </a:gs>
                <a:gs pos="100000">
                  <a:srgbClr val="111111"/>
                </a:gs>
                <a:gs pos="100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40000" dist="20000" dir="5400000" rotWithShape="0">
                <a:srgbClr val="000000">
                  <a:alpha val="38000"/>
                </a:srgbClr>
              </a:outerShdw>
            </a:effectLst>
          </c:spPr>
          <c:cat>
            <c:multiLvlStrRef>
              <c:f>'pivot table'!$M$10:$N$12</c:f>
              <c:multiLvlStrCache>
                <c:ptCount val="3"/>
                <c:lvl>
                  <c:pt idx="0">
                    <c:v>Consumer</c:v>
                  </c:pt>
                  <c:pt idx="1">
                    <c:v>Corporate</c:v>
                  </c:pt>
                  <c:pt idx="2">
                    <c:v>Home Office</c:v>
                  </c:pt>
                </c:lvl>
                <c:lvl>
                  <c:pt idx="0">
                    <c:v>3</c:v>
                  </c:pt>
                  <c:pt idx="1">
                    <c:v>2</c:v>
                  </c:pt>
                  <c:pt idx="2">
                    <c:v>1</c:v>
                  </c:pt>
                </c:lvl>
              </c:multiLvlStrCache>
            </c:multiLvlStrRef>
          </c:cat>
          <c:val>
            <c:numRef>
              <c:f>'pivot table'!$O$10:$O$12</c:f>
              <c:numCache>
                <c:formatCode>General</c:formatCode>
                <c:ptCount val="3"/>
                <c:pt idx="0">
                  <c:v>82389.260000000009</c:v>
                </c:pt>
                <c:pt idx="1">
                  <c:v>83807.179999999935</c:v>
                </c:pt>
                <c:pt idx="2">
                  <c:v>86940.739999999932</c:v>
                </c:pt>
              </c:numCache>
            </c:numRef>
          </c:val>
          <c:extLst>
            <c:ext xmlns:c16="http://schemas.microsoft.com/office/drawing/2014/chart" uri="{C3380CC4-5D6E-409C-BE32-E72D297353CC}">
              <c16:uniqueId val="{00000000-D00E-4365-A241-FCAAA38B5C2E}"/>
            </c:ext>
          </c:extLst>
        </c:ser>
        <c:dLbls>
          <c:showLegendKey val="0"/>
          <c:showVal val="0"/>
          <c:showCatName val="0"/>
          <c:showSerName val="0"/>
          <c:showPercent val="0"/>
          <c:showBubbleSize val="0"/>
        </c:dLbls>
        <c:axId val="313269160"/>
        <c:axId val="313267520"/>
      </c:areaChart>
      <c:catAx>
        <c:axId val="313269160"/>
        <c:scaling>
          <c:orientation val="minMax"/>
        </c:scaling>
        <c:delete val="1"/>
        <c:axPos val="b"/>
        <c:numFmt formatCode="General" sourceLinked="1"/>
        <c:majorTickMark val="out"/>
        <c:minorTickMark val="none"/>
        <c:tickLblPos val="nextTo"/>
        <c:crossAx val="313267520"/>
        <c:crosses val="autoZero"/>
        <c:auto val="1"/>
        <c:lblAlgn val="ctr"/>
        <c:lblOffset val="100"/>
        <c:noMultiLvlLbl val="0"/>
      </c:catAx>
      <c:valAx>
        <c:axId val="313267520"/>
        <c:scaling>
          <c:orientation val="minMax"/>
        </c:scaling>
        <c:delete val="1"/>
        <c:axPos val="l"/>
        <c:numFmt formatCode="General" sourceLinked="1"/>
        <c:majorTickMark val="none"/>
        <c:minorTickMark val="none"/>
        <c:tickLblPos val="nextTo"/>
        <c:crossAx val="313269160"/>
        <c:crosses val="autoZero"/>
        <c:crossBetween val="midCat"/>
      </c:valAx>
      <c:spPr>
        <a:solidFill>
          <a:srgbClr val="111111"/>
        </a:solidFill>
        <a:ln>
          <a:noFill/>
        </a:ln>
        <a:effectLst/>
      </c:spPr>
    </c:plotArea>
    <c:plotVisOnly val="1"/>
    <c:dispBlanksAs val="gap"/>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Sale</a:t>
            </a:r>
            <a:endParaRPr lang="en-US" b="1">
              <a:solidFill>
                <a:schemeClr val="bg1"/>
              </a:solidFill>
            </a:endParaRPr>
          </a:p>
        </c:rich>
      </c:tx>
      <c:layout>
        <c:manualLayout>
          <c:xMode val="edge"/>
          <c:yMode val="edge"/>
          <c:x val="1.838188976377953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3.0555555555555555E-2"/>
          <c:y val="0"/>
          <c:w val="0.93888888888888888"/>
          <c:h val="0.70977480314960628"/>
        </c:manualLayout>
      </c:layout>
      <c:barChart>
        <c:barDir val="col"/>
        <c:grouping val="clustered"/>
        <c:varyColors val="0"/>
        <c:ser>
          <c:idx val="0"/>
          <c:order val="0"/>
          <c:spPr>
            <a:gradFill flip="none" rotWithShape="1">
              <a:gsLst>
                <a:gs pos="100000">
                  <a:schemeClr val="tx1">
                    <a:lumMod val="95000"/>
                    <a:lumOff val="5000"/>
                  </a:schemeClr>
                </a:gs>
                <a:gs pos="0">
                  <a:srgbClr val="00FFFF">
                    <a:shade val="67500"/>
                    <a:satMod val="115000"/>
                  </a:srgbClr>
                </a:gs>
                <a:gs pos="100000">
                  <a:srgbClr val="00FFFF">
                    <a:shade val="100000"/>
                    <a:satMod val="115000"/>
                  </a:srgbClr>
                </a:gs>
              </a:gsLst>
              <a:lin ang="5400000" scaled="1"/>
              <a:tileRect/>
            </a:gradFill>
            <a:ln>
              <a:noFill/>
            </a:ln>
            <a:effectLst/>
          </c:spPr>
          <c:invertIfNegative val="0"/>
          <c:cat>
            <c:strRef>
              <c:f>'pivot table'!$B$16:$B$27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table'!$C$16:$C$27</c:f>
              <c:numCache>
                <c:formatCode>General</c:formatCode>
                <c:ptCount val="12"/>
                <c:pt idx="0">
                  <c:v>24290.459999999995</c:v>
                </c:pt>
                <c:pt idx="1">
                  <c:v>23790.48</c:v>
                </c:pt>
                <c:pt idx="2">
                  <c:v>20163.809999999998</c:v>
                </c:pt>
                <c:pt idx="3">
                  <c:v>17429.900000000005</c:v>
                </c:pt>
                <c:pt idx="4">
                  <c:v>18045.109999999997</c:v>
                </c:pt>
                <c:pt idx="5">
                  <c:v>23499.389999999996</c:v>
                </c:pt>
                <c:pt idx="6">
                  <c:v>19066.680000000004</c:v>
                </c:pt>
                <c:pt idx="7">
                  <c:v>21863.129999999997</c:v>
                </c:pt>
                <c:pt idx="8">
                  <c:v>20669.860000000004</c:v>
                </c:pt>
                <c:pt idx="9">
                  <c:v>21600.78000000001</c:v>
                </c:pt>
                <c:pt idx="10">
                  <c:v>18550.750000000004</c:v>
                </c:pt>
                <c:pt idx="11">
                  <c:v>24166.829999999998</c:v>
                </c:pt>
              </c:numCache>
            </c:numRef>
          </c:val>
          <c:extLst>
            <c:ext xmlns:c16="http://schemas.microsoft.com/office/drawing/2014/chart" uri="{C3380CC4-5D6E-409C-BE32-E72D297353CC}">
              <c16:uniqueId val="{00000000-96D9-4B1B-8F86-88945DCF08C3}"/>
            </c:ext>
          </c:extLst>
        </c:ser>
        <c:dLbls>
          <c:showLegendKey val="0"/>
          <c:showVal val="0"/>
          <c:showCatName val="0"/>
          <c:showSerName val="0"/>
          <c:showPercent val="0"/>
          <c:showBubbleSize val="0"/>
        </c:dLbls>
        <c:gapWidth val="219"/>
        <c:overlap val="-27"/>
        <c:axId val="411803080"/>
        <c:axId val="411799472"/>
      </c:barChart>
      <c:catAx>
        <c:axId val="411803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1799472"/>
        <c:crosses val="autoZero"/>
        <c:auto val="1"/>
        <c:lblAlgn val="ctr"/>
        <c:lblOffset val="100"/>
        <c:noMultiLvlLbl val="0"/>
      </c:catAx>
      <c:valAx>
        <c:axId val="411799472"/>
        <c:scaling>
          <c:orientation val="minMax"/>
        </c:scaling>
        <c:delete val="1"/>
        <c:axPos val="l"/>
        <c:numFmt formatCode="General" sourceLinked="1"/>
        <c:majorTickMark val="none"/>
        <c:minorTickMark val="none"/>
        <c:tickLblPos val="nextTo"/>
        <c:crossAx val="411803080"/>
        <c:crosses val="autoZero"/>
        <c:crossBetween val="between"/>
      </c:valAx>
      <c:spPr>
        <a:noFill/>
        <a:ln>
          <a:noFill/>
        </a:ln>
        <a:effectLst/>
      </c:spPr>
    </c:plotArea>
    <c:plotVisOnly val="1"/>
    <c:dispBlanksAs val="gap"/>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23</xdr:col>
      <xdr:colOff>321192</xdr:colOff>
      <xdr:row>30</xdr:row>
      <xdr:rowOff>155058</xdr:rowOff>
    </xdr:to>
    <xdr:sp macro="" textlink="">
      <xdr:nvSpPr>
        <xdr:cNvPr id="2" name="Rectangle 1"/>
        <xdr:cNvSpPr/>
      </xdr:nvSpPr>
      <xdr:spPr>
        <a:xfrm>
          <a:off x="1" y="0"/>
          <a:ext cx="14331801" cy="5803605"/>
        </a:xfrm>
        <a:prstGeom prst="rect">
          <a:avLst/>
        </a:prstGeom>
        <a:gradFill flip="none" rotWithShape="1">
          <a:gsLst>
            <a:gs pos="0">
              <a:srgbClr val="00FFFF">
                <a:shade val="30000"/>
                <a:satMod val="115000"/>
              </a:srgbClr>
            </a:gs>
            <a:gs pos="50000">
              <a:srgbClr val="00FFFF">
                <a:shade val="67500"/>
                <a:satMod val="115000"/>
              </a:srgbClr>
            </a:gs>
            <a:gs pos="100000">
              <a:srgbClr val="00FFFF">
                <a:shade val="100000"/>
                <a:satMod val="115000"/>
              </a:srgbClr>
            </a:gs>
          </a:gsLst>
          <a:lin ang="81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104542</xdr:colOff>
      <xdr:row>0</xdr:row>
      <xdr:rowOff>34023</xdr:rowOff>
    </xdr:from>
    <xdr:to>
      <xdr:col>23</xdr:col>
      <xdr:colOff>254639</xdr:colOff>
      <xdr:row>30</xdr:row>
      <xdr:rowOff>77529</xdr:rowOff>
    </xdr:to>
    <xdr:grpSp>
      <xdr:nvGrpSpPr>
        <xdr:cNvPr id="10" name="Group 9"/>
        <xdr:cNvGrpSpPr/>
      </xdr:nvGrpSpPr>
      <xdr:grpSpPr>
        <a:xfrm>
          <a:off x="104542" y="34023"/>
          <a:ext cx="14160707" cy="5692053"/>
          <a:chOff x="104542" y="34023"/>
          <a:chExt cx="14035231" cy="5678013"/>
        </a:xfrm>
      </xdr:grpSpPr>
      <xdr:sp macro="" textlink="">
        <xdr:nvSpPr>
          <xdr:cNvPr id="5" name="Rectangle 4"/>
          <xdr:cNvSpPr/>
        </xdr:nvSpPr>
        <xdr:spPr>
          <a:xfrm>
            <a:off x="3013134" y="1301124"/>
            <a:ext cx="11126639" cy="4410912"/>
          </a:xfrm>
          <a:prstGeom prst="rect">
            <a:avLst/>
          </a:prstGeom>
          <a:ln>
            <a:noFill/>
          </a:ln>
          <a:effectLst>
            <a:outerShdw blurRad="152400" dist="38100" dir="8100000" algn="tr" rotWithShape="0">
              <a:prstClr val="black"/>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nvGrpSpPr>
          <xdr:cNvPr id="7" name="Group 6"/>
          <xdr:cNvGrpSpPr/>
        </xdr:nvGrpSpPr>
        <xdr:grpSpPr>
          <a:xfrm>
            <a:off x="104542" y="34023"/>
            <a:ext cx="14024352" cy="1280695"/>
            <a:chOff x="193111" y="113398"/>
            <a:chExt cx="14842225" cy="1314571"/>
          </a:xfrm>
        </xdr:grpSpPr>
        <xdr:sp macro="" textlink="">
          <xdr:nvSpPr>
            <xdr:cNvPr id="3" name="Rectangle 2"/>
            <xdr:cNvSpPr/>
          </xdr:nvSpPr>
          <xdr:spPr>
            <a:xfrm>
              <a:off x="5532120" y="113398"/>
              <a:ext cx="9503216" cy="805089"/>
            </a:xfrm>
            <a:prstGeom prst="rect">
              <a:avLst/>
            </a:prstGeom>
            <a:ln>
              <a:noFill/>
            </a:ln>
            <a:effectLst>
              <a:outerShdw blurRad="152400" dist="38100" dir="8100000" algn="tr" rotWithShape="0">
                <a:prstClr val="black"/>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4" name="Rectangle 3"/>
            <xdr:cNvSpPr/>
          </xdr:nvSpPr>
          <xdr:spPr>
            <a:xfrm>
              <a:off x="1576160" y="895804"/>
              <a:ext cx="13459176" cy="532165"/>
            </a:xfrm>
            <a:prstGeom prst="rect">
              <a:avLst/>
            </a:prstGeom>
            <a:ln>
              <a:noFill/>
            </a:ln>
            <a:effectLst>
              <a:outerShdw blurRad="152400" dist="38100" dir="8100000" algn="tr" rotWithShape="0">
                <a:prstClr val="black"/>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6" name="TextBox 5"/>
            <xdr:cNvSpPr txBox="1"/>
          </xdr:nvSpPr>
          <xdr:spPr>
            <a:xfrm>
              <a:off x="193111" y="243730"/>
              <a:ext cx="5420178" cy="737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mn-lt"/>
                  <a:cs typeface="Aharoni" panose="02010803020104030203" pitchFamily="2" charset="-79"/>
                </a:rPr>
                <a:t>AAZISTORE</a:t>
              </a:r>
              <a:r>
                <a:rPr lang="en-US" sz="2800" b="1" baseline="0">
                  <a:latin typeface="+mn-lt"/>
                  <a:cs typeface="Aharoni" panose="02010803020104030203" pitchFamily="2" charset="-79"/>
                </a:rPr>
                <a:t> SALES </a:t>
              </a:r>
              <a:r>
                <a:rPr lang="en-US" sz="2800" b="1">
                  <a:latin typeface="+mn-lt"/>
                  <a:cs typeface="Aharoni" panose="02010803020104030203" pitchFamily="2" charset="-79"/>
                </a:rPr>
                <a:t>DASHBOARD</a:t>
              </a:r>
            </a:p>
          </xdr:txBody>
        </xdr:sp>
      </xdr:grpSp>
      <xdr:grpSp>
        <xdr:nvGrpSpPr>
          <xdr:cNvPr id="13" name="Group 12"/>
          <xdr:cNvGrpSpPr/>
        </xdr:nvGrpSpPr>
        <xdr:grpSpPr>
          <a:xfrm>
            <a:off x="5320957" y="102317"/>
            <a:ext cx="2594351" cy="683233"/>
            <a:chOff x="5533571" y="113393"/>
            <a:chExt cx="2256518" cy="703036"/>
          </a:xfrm>
        </xdr:grpSpPr>
        <xdr:sp macro="" textlink="">
          <xdr:nvSpPr>
            <xdr:cNvPr id="11" name="TextBox 10"/>
            <xdr:cNvSpPr txBox="1"/>
          </xdr:nvSpPr>
          <xdr:spPr>
            <a:xfrm>
              <a:off x="5533571" y="374197"/>
              <a:ext cx="2256518" cy="442232"/>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bg1"/>
                  </a:solidFill>
                  <a:effectLst/>
                  <a:latin typeface="+mn-lt"/>
                  <a:ea typeface="+mn-ea"/>
                  <a:cs typeface="+mn-cs"/>
                </a:rPr>
                <a:t>                    </a:t>
              </a:r>
              <a:r>
                <a:rPr lang="en-US" sz="1600" b="0" i="0" u="none" strike="noStrike">
                  <a:solidFill>
                    <a:schemeClr val="bg1"/>
                  </a:solidFill>
                  <a:effectLst/>
                  <a:latin typeface="+mn-lt"/>
                  <a:ea typeface="+mn-ea"/>
                  <a:cs typeface="+mn-cs"/>
                </a:rPr>
                <a:t>$253,137.18 </a:t>
              </a:r>
              <a:endParaRPr lang="en-US" sz="1600" b="1">
                <a:solidFill>
                  <a:schemeClr val="bg1"/>
                </a:solidFill>
              </a:endParaRPr>
            </a:p>
          </xdr:txBody>
        </xdr:sp>
        <xdr:sp macro="" textlink="">
          <xdr:nvSpPr>
            <xdr:cNvPr id="8" name="TextBox 7"/>
            <xdr:cNvSpPr txBox="1"/>
          </xdr:nvSpPr>
          <xdr:spPr>
            <a:xfrm>
              <a:off x="5533571" y="113393"/>
              <a:ext cx="2256518" cy="328839"/>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a:t>
              </a:r>
              <a:r>
                <a:rPr lang="en-US" sz="1400" b="1">
                  <a:solidFill>
                    <a:schemeClr val="bg1"/>
                  </a:solidFill>
                </a:rPr>
                <a:t>Total</a:t>
              </a:r>
              <a:r>
                <a:rPr lang="en-US" sz="1400" b="1" baseline="0">
                  <a:solidFill>
                    <a:schemeClr val="bg1"/>
                  </a:solidFill>
                </a:rPr>
                <a:t> sales</a:t>
              </a:r>
              <a:endParaRPr lang="en-US" sz="1400" b="1">
                <a:solidFill>
                  <a:schemeClr val="bg1"/>
                </a:solidFill>
              </a:endParaRPr>
            </a:p>
          </xdr:txBody>
        </xdr:sp>
      </xdr:grpSp>
      <xdr:grpSp>
        <xdr:nvGrpSpPr>
          <xdr:cNvPr id="14" name="Group 13"/>
          <xdr:cNvGrpSpPr/>
        </xdr:nvGrpSpPr>
        <xdr:grpSpPr>
          <a:xfrm>
            <a:off x="8076974" y="85153"/>
            <a:ext cx="5673052" cy="671896"/>
            <a:chOff x="5533571" y="124731"/>
            <a:chExt cx="4649106" cy="691698"/>
          </a:xfrm>
        </xdr:grpSpPr>
        <xdr:sp macro="" textlink="">
          <xdr:nvSpPr>
            <xdr:cNvPr id="15" name="TextBox 14"/>
            <xdr:cNvSpPr txBox="1"/>
          </xdr:nvSpPr>
          <xdr:spPr>
            <a:xfrm>
              <a:off x="5533571" y="374197"/>
              <a:ext cx="2256518" cy="442232"/>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bg1"/>
                  </a:solidFill>
                  <a:effectLst/>
                  <a:latin typeface="+mn-lt"/>
                  <a:ea typeface="+mn-ea"/>
                  <a:cs typeface="+mn-cs"/>
                </a:rPr>
                <a:t>              </a:t>
              </a:r>
              <a:r>
                <a:rPr lang="en-US" sz="1100" b="0" i="0" u="none" strike="noStrike">
                  <a:solidFill>
                    <a:schemeClr val="dk1"/>
                  </a:solidFill>
                  <a:effectLst/>
                  <a:latin typeface="+mn-lt"/>
                  <a:ea typeface="+mn-ea"/>
                  <a:cs typeface="+mn-cs"/>
                </a:rPr>
                <a:t>          </a:t>
              </a:r>
              <a:r>
                <a:rPr lang="en-US" sz="1100" b="0" i="0" u="none" strike="noStrike" baseline="0">
                  <a:solidFill>
                    <a:schemeClr val="dk1"/>
                  </a:solidFill>
                  <a:effectLst/>
                  <a:latin typeface="+mn-lt"/>
                  <a:ea typeface="+mn-ea"/>
                  <a:cs typeface="+mn-cs"/>
                </a:rPr>
                <a:t>  </a:t>
              </a:r>
              <a:r>
                <a:rPr lang="en-US" sz="1400" b="0" i="0" u="none" strike="noStrike">
                  <a:solidFill>
                    <a:schemeClr val="bg1"/>
                  </a:solidFill>
                  <a:effectLst/>
                  <a:latin typeface="+mn-lt"/>
                  <a:ea typeface="+mn-ea"/>
                  <a:cs typeface="+mn-cs"/>
                </a:rPr>
                <a:t>$ 22,772.69 </a:t>
              </a:r>
              <a:endParaRPr lang="en-US" sz="1600" b="1">
                <a:solidFill>
                  <a:schemeClr val="bg1"/>
                </a:solidFill>
              </a:endParaRPr>
            </a:p>
          </xdr:txBody>
        </xdr:sp>
        <xdr:sp macro="" textlink="">
          <xdr:nvSpPr>
            <xdr:cNvPr id="16" name="TextBox 15"/>
            <xdr:cNvSpPr txBox="1"/>
          </xdr:nvSpPr>
          <xdr:spPr>
            <a:xfrm>
              <a:off x="5533571" y="124732"/>
              <a:ext cx="2256518" cy="328839"/>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a:t>
              </a:r>
              <a:r>
                <a:rPr lang="en-US" sz="1400" b="1">
                  <a:solidFill>
                    <a:schemeClr val="bg1"/>
                  </a:solidFill>
                </a:rPr>
                <a:t>Total</a:t>
              </a:r>
              <a:r>
                <a:rPr lang="en-US" sz="1400" baseline="0">
                  <a:solidFill>
                    <a:schemeClr val="bg1"/>
                  </a:solidFill>
                </a:rPr>
                <a:t> Profit</a:t>
              </a:r>
              <a:endParaRPr lang="en-US" sz="1400">
                <a:solidFill>
                  <a:schemeClr val="bg1"/>
                </a:solidFill>
              </a:endParaRPr>
            </a:p>
          </xdr:txBody>
        </xdr:sp>
        <xdr:sp macro="" textlink="">
          <xdr:nvSpPr>
            <xdr:cNvPr id="17" name="TextBox 16"/>
            <xdr:cNvSpPr txBox="1"/>
          </xdr:nvSpPr>
          <xdr:spPr>
            <a:xfrm>
              <a:off x="7926159" y="290259"/>
              <a:ext cx="2256518" cy="521833"/>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bg1"/>
                  </a:solidFill>
                  <a:effectLst/>
                  <a:latin typeface="+mn-lt"/>
                  <a:ea typeface="+mn-ea"/>
                  <a:cs typeface="+mn-cs"/>
                </a:rPr>
                <a:t>              </a:t>
              </a:r>
              <a:r>
                <a:rPr lang="en-US" sz="1400" b="0" i="0" u="none" strike="noStrike">
                  <a:solidFill>
                    <a:schemeClr val="bg1"/>
                  </a:solidFill>
                  <a:effectLst/>
                  <a:latin typeface="+mn-lt"/>
                  <a:ea typeface="+mn-ea"/>
                  <a:cs typeface="+mn-cs"/>
                </a:rPr>
                <a:t>            </a:t>
              </a:r>
              <a:r>
                <a:rPr lang="en-US" sz="1400" b="0" i="0" u="none" strike="noStrike" baseline="0">
                  <a:solidFill>
                    <a:schemeClr val="bg1"/>
                  </a:solidFill>
                  <a:effectLst/>
                  <a:latin typeface="+mn-lt"/>
                  <a:ea typeface="+mn-ea"/>
                  <a:cs typeface="+mn-cs"/>
                </a:rPr>
                <a:t>  </a:t>
              </a:r>
              <a:r>
                <a:rPr lang="en-US" sz="1400" b="0" i="0" u="none" strike="noStrike">
                  <a:solidFill>
                    <a:schemeClr val="bg1"/>
                  </a:solidFill>
                  <a:effectLst/>
                  <a:latin typeface="+mn-lt"/>
                  <a:ea typeface="+mn-ea"/>
                  <a:cs typeface="+mn-cs"/>
                </a:rPr>
                <a:t>9%</a:t>
              </a:r>
              <a:r>
                <a:rPr lang="en-US" sz="2000">
                  <a:solidFill>
                    <a:schemeClr val="bg1"/>
                  </a:solidFill>
                </a:rPr>
                <a:t> </a:t>
              </a:r>
              <a:endParaRPr lang="en-US" sz="2000" b="1">
                <a:solidFill>
                  <a:schemeClr val="bg1"/>
                </a:solidFill>
              </a:endParaRPr>
            </a:p>
          </xdr:txBody>
        </xdr:sp>
        <xdr:sp macro="" textlink="">
          <xdr:nvSpPr>
            <xdr:cNvPr id="18" name="TextBox 17"/>
            <xdr:cNvSpPr txBox="1"/>
          </xdr:nvSpPr>
          <xdr:spPr>
            <a:xfrm>
              <a:off x="7926158" y="124731"/>
              <a:ext cx="2256518" cy="328839"/>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a:t>
              </a:r>
              <a:r>
                <a:rPr lang="en-US" sz="1400" b="1">
                  <a:solidFill>
                    <a:schemeClr val="bg1"/>
                  </a:solidFill>
                </a:rPr>
                <a:t>Profit</a:t>
              </a:r>
              <a:r>
                <a:rPr lang="en-US" sz="1400" b="1" baseline="0">
                  <a:solidFill>
                    <a:schemeClr val="bg1"/>
                  </a:solidFill>
                </a:rPr>
                <a:t> %</a:t>
              </a:r>
              <a:endParaRPr lang="en-US" sz="1400" b="1">
                <a:solidFill>
                  <a:schemeClr val="bg1"/>
                </a:solidFill>
              </a:endParaRPr>
            </a:p>
          </xdr:txBody>
        </xdr:sp>
      </xdr:grpSp>
      <xdr:graphicFrame macro="">
        <xdr:nvGraphicFramePr>
          <xdr:cNvPr id="24" name="Chart 23"/>
          <xdr:cNvGraphicFramePr>
            <a:graphicFrameLocks/>
          </xdr:cNvGraphicFramePr>
        </xdr:nvGraphicFramePr>
        <xdr:xfrm>
          <a:off x="3053057" y="4199049"/>
          <a:ext cx="4202384" cy="143545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6" name="Chart 25"/>
          <xdr:cNvGraphicFramePr>
            <a:graphicFrameLocks/>
          </xdr:cNvGraphicFramePr>
        </xdr:nvGraphicFramePr>
        <xdr:xfrm>
          <a:off x="7299745" y="1336869"/>
          <a:ext cx="2392636" cy="430871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8" name="Chart 27"/>
          <xdr:cNvGraphicFramePr>
            <a:graphicFrameLocks/>
          </xdr:cNvGraphicFramePr>
        </xdr:nvGraphicFramePr>
        <xdr:xfrm>
          <a:off x="9736684" y="1347945"/>
          <a:ext cx="2054753" cy="209921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 name="Chart 29"/>
          <xdr:cNvGraphicFramePr>
            <a:graphicFrameLocks/>
          </xdr:cNvGraphicFramePr>
        </xdr:nvGraphicFramePr>
        <xdr:xfrm>
          <a:off x="11846815" y="1347945"/>
          <a:ext cx="2215430" cy="2118587"/>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cx="http://schemas.microsoft.com/office/drawing/2014/chartex" Requires="cx">
          <xdr:graphicFrame macro="">
            <xdr:nvGraphicFramePr>
              <xdr:cNvPr id="32" name="Chart 31"/>
              <xdr:cNvGraphicFramePr/>
            </xdr:nvGraphicFramePr>
            <xdr:xfrm>
              <a:off x="11835740" y="3535762"/>
              <a:ext cx="2226505" cy="2077061"/>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34" name="Chart 33"/>
          <xdr:cNvGraphicFramePr>
            <a:graphicFrameLocks/>
          </xdr:cNvGraphicFramePr>
        </xdr:nvGraphicFramePr>
        <xdr:xfrm>
          <a:off x="9747759" y="3513611"/>
          <a:ext cx="2043677" cy="2110288"/>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35" name="Group 34"/>
          <xdr:cNvGrpSpPr/>
        </xdr:nvGrpSpPr>
        <xdr:grpSpPr>
          <a:xfrm>
            <a:off x="3055766" y="1361658"/>
            <a:ext cx="2061776" cy="784821"/>
            <a:chOff x="5533571" y="113393"/>
            <a:chExt cx="2256518" cy="703036"/>
          </a:xfrm>
          <a:solidFill>
            <a:srgbClr val="111111"/>
          </a:solidFill>
        </xdr:grpSpPr>
        <xdr:sp macro="" textlink="">
          <xdr:nvSpPr>
            <xdr:cNvPr id="36" name="TextBox 35"/>
            <xdr:cNvSpPr txBox="1"/>
          </xdr:nvSpPr>
          <xdr:spPr>
            <a:xfrm>
              <a:off x="5533571" y="374197"/>
              <a:ext cx="2256518" cy="4422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effectLst/>
                  <a:latin typeface="+mn-lt"/>
                  <a:ea typeface="+mn-ea"/>
                  <a:cs typeface="Aharoni" panose="02010803020104030203" pitchFamily="2" charset="-79"/>
                </a:rPr>
                <a:t>Home Office</a:t>
              </a:r>
              <a:r>
                <a:rPr lang="en-US" sz="2000" b="1">
                  <a:solidFill>
                    <a:schemeClr val="bg1"/>
                  </a:solidFill>
                  <a:latin typeface="+mn-lt"/>
                  <a:cs typeface="Aharoni" panose="02010803020104030203" pitchFamily="2" charset="-79"/>
                </a:rPr>
                <a:t> </a:t>
              </a:r>
              <a:endParaRPr lang="en-US" sz="1400" b="1">
                <a:solidFill>
                  <a:schemeClr val="bg1"/>
                </a:solidFill>
                <a:latin typeface="+mn-lt"/>
                <a:cs typeface="Aharoni" panose="02010803020104030203" pitchFamily="2" charset="-79"/>
              </a:endParaRPr>
            </a:p>
          </xdr:txBody>
        </xdr:sp>
        <xdr:sp macro="" textlink="">
          <xdr:nvSpPr>
            <xdr:cNvPr id="37" name="TextBox 36"/>
            <xdr:cNvSpPr txBox="1"/>
          </xdr:nvSpPr>
          <xdr:spPr>
            <a:xfrm>
              <a:off x="5533571" y="113393"/>
              <a:ext cx="2256518" cy="32883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Top</a:t>
              </a:r>
              <a:r>
                <a:rPr lang="en-US" sz="1400" b="1" baseline="0">
                  <a:solidFill>
                    <a:schemeClr val="bg1"/>
                  </a:solidFill>
                </a:rPr>
                <a:t> Segment</a:t>
              </a:r>
              <a:endParaRPr lang="en-US" sz="1400" b="1">
                <a:solidFill>
                  <a:schemeClr val="bg1"/>
                </a:solidFill>
              </a:endParaRPr>
            </a:p>
          </xdr:txBody>
        </xdr:sp>
      </xdr:grpSp>
      <xdr:grpSp>
        <xdr:nvGrpSpPr>
          <xdr:cNvPr id="42" name="Group 41"/>
          <xdr:cNvGrpSpPr/>
        </xdr:nvGrpSpPr>
        <xdr:grpSpPr>
          <a:xfrm>
            <a:off x="5161844" y="1361662"/>
            <a:ext cx="2093596" cy="771401"/>
            <a:chOff x="5533571" y="113393"/>
            <a:chExt cx="2256518" cy="703036"/>
          </a:xfrm>
          <a:solidFill>
            <a:srgbClr val="111111"/>
          </a:solidFill>
        </xdr:grpSpPr>
        <xdr:sp macro="" textlink="">
          <xdr:nvSpPr>
            <xdr:cNvPr id="43" name="TextBox 42"/>
            <xdr:cNvSpPr txBox="1"/>
          </xdr:nvSpPr>
          <xdr:spPr>
            <a:xfrm>
              <a:off x="5533571" y="374197"/>
              <a:ext cx="2256518" cy="4422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effectLst/>
                  <a:latin typeface="+mn-lt"/>
                  <a:ea typeface="+mn-ea"/>
                  <a:cs typeface="Aharoni" panose="02010803020104030203" pitchFamily="2" charset="-79"/>
                </a:rPr>
                <a:t>Office Supplies</a:t>
              </a:r>
              <a:r>
                <a:rPr lang="en-US" sz="2000" b="1">
                  <a:solidFill>
                    <a:schemeClr val="bg1"/>
                  </a:solidFill>
                  <a:latin typeface="+mn-lt"/>
                  <a:cs typeface="Aharoni" panose="02010803020104030203" pitchFamily="2" charset="-79"/>
                </a:rPr>
                <a:t> </a:t>
              </a:r>
            </a:p>
          </xdr:txBody>
        </xdr:sp>
        <xdr:sp macro="" textlink="">
          <xdr:nvSpPr>
            <xdr:cNvPr id="44" name="TextBox 43"/>
            <xdr:cNvSpPr txBox="1"/>
          </xdr:nvSpPr>
          <xdr:spPr>
            <a:xfrm>
              <a:off x="5533571" y="113393"/>
              <a:ext cx="2256518" cy="32883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Top</a:t>
              </a:r>
              <a:r>
                <a:rPr lang="en-US" sz="1400" b="1" baseline="0">
                  <a:solidFill>
                    <a:schemeClr val="bg1"/>
                  </a:solidFill>
                </a:rPr>
                <a:t> Catagory</a:t>
              </a:r>
              <a:endParaRPr lang="en-US" sz="1400" b="1">
                <a:solidFill>
                  <a:schemeClr val="bg1"/>
                </a:solidFill>
              </a:endParaRPr>
            </a:p>
          </xdr:txBody>
        </xdr:sp>
      </xdr:grpSp>
      <xdr:graphicFrame macro="">
        <xdr:nvGraphicFramePr>
          <xdr:cNvPr id="46" name="Chart 45"/>
          <xdr:cNvGraphicFramePr>
            <a:graphicFrameLocks/>
          </xdr:cNvGraphicFramePr>
        </xdr:nvGraphicFramePr>
        <xdr:xfrm>
          <a:off x="6391390" y="1458702"/>
          <a:ext cx="886203" cy="40886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8" name="Chart 47"/>
          <xdr:cNvGraphicFramePr>
            <a:graphicFrameLocks/>
          </xdr:cNvGraphicFramePr>
        </xdr:nvGraphicFramePr>
        <xdr:xfrm>
          <a:off x="4198112" y="1414399"/>
          <a:ext cx="897279" cy="431011"/>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a14="http://schemas.microsoft.com/office/drawing/2010/main" Requires="a14">
          <xdr:graphicFrame macro="">
            <xdr:nvGraphicFramePr>
              <xdr:cNvPr id="50" name="Order Year"/>
              <xdr:cNvGraphicFramePr/>
            </xdr:nvGraphicFramePr>
            <xdr:xfrm>
              <a:off x="531628" y="1462289"/>
              <a:ext cx="2325872" cy="1399268"/>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535446" y="1465821"/>
                <a:ext cx="2346665" cy="1402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4" name="Region"/>
              <xdr:cNvGraphicFramePr/>
            </xdr:nvGraphicFramePr>
            <xdr:xfrm>
              <a:off x="539932" y="2905859"/>
              <a:ext cx="2317568" cy="1535762"/>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3824" y="2912960"/>
                <a:ext cx="2338287" cy="1539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5" name="Segment"/>
              <xdr:cNvGraphicFramePr/>
            </xdr:nvGraphicFramePr>
            <xdr:xfrm>
              <a:off x="552392" y="4477895"/>
              <a:ext cx="2291693" cy="1232591"/>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56396" y="4488883"/>
                <a:ext cx="2312181" cy="1235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6" name="Order Month"/>
              <xdr:cNvGraphicFramePr/>
            </xdr:nvGraphicFramePr>
            <xdr:xfrm>
              <a:off x="1417830" y="839872"/>
              <a:ext cx="12634222" cy="419935"/>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1429571" y="841865"/>
                <a:ext cx="12747173" cy="420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0" name="Chart 59"/>
          <xdr:cNvGraphicFramePr>
            <a:graphicFrameLocks/>
          </xdr:cNvGraphicFramePr>
        </xdr:nvGraphicFramePr>
        <xdr:xfrm>
          <a:off x="3051713" y="2213556"/>
          <a:ext cx="4198112" cy="19050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44.584271643522" createdVersion="6" refreshedVersion="6" minRefreshableVersion="3" recordCount="1000">
  <cacheSource type="worksheet">
    <worksheetSource ref="A1:S1001" sheet="database"/>
  </cacheSource>
  <cacheFields count="19">
    <cacheField name="Raw ID" numFmtId="0">
      <sharedItems containsSemiMixedTypes="0" containsString="0" containsNumber="1" containsInteger="1" minValue="1" maxValue="1000"/>
    </cacheField>
    <cacheField name="Order Date" numFmtId="164">
      <sharedItems containsSemiMixedTypes="0" containsNonDate="0" containsDate="1" containsString="0" minDate="2020-01-02T00:00:00" maxDate="2025-12-29T00:00:00"/>
    </cacheField>
    <cacheField name="Order Year" numFmtId="0">
      <sharedItems containsSemiMixedTypes="0" containsString="0" containsNumber="1" containsInteger="1" minValue="2020" maxValue="2025" count="6">
        <n v="2025"/>
        <n v="2024"/>
        <n v="2022"/>
        <n v="2020"/>
        <n v="2021"/>
        <n v="2023"/>
      </sharedItems>
    </cacheField>
    <cacheField name="Order Month" numFmtId="0">
      <sharedItems count="12">
        <s v="May"/>
        <s v="July"/>
        <s v="June"/>
        <s v="October"/>
        <s v="January"/>
        <s v="March"/>
        <s v="September"/>
        <s v="April"/>
        <s v="August"/>
        <s v="February"/>
        <s v="December"/>
        <s v="November"/>
      </sharedItems>
    </cacheField>
    <cacheField name="Ship Date" numFmtId="164">
      <sharedItems containsSemiMixedTypes="0" containsNonDate="0" containsDate="1" containsString="0" minDate="2020-01-08T00:00:00" maxDate="2026-01-05T00:00:00"/>
    </cacheField>
    <cacheField name="Delivery Time" numFmtId="0">
      <sharedItems containsSemiMixedTypes="0" containsString="0" containsNumber="1" containsInteger="1" minValue="1" maxValue="10"/>
    </cacheField>
    <cacheField name="Ship Mode" numFmtId="0">
      <sharedItems count="4">
        <s v="Same Day"/>
        <s v="Standard Class"/>
        <s v="First Class"/>
        <s v="Second Class"/>
      </sharedItems>
    </cacheField>
    <cacheField name="Customer Name" numFmtId="0">
      <sharedItems/>
    </cacheField>
    <cacheField name="Segment" numFmtId="0">
      <sharedItems count="3">
        <s v="Home Office"/>
        <s v="Corporate"/>
        <s v="Consumer"/>
      </sharedItems>
    </cacheField>
    <cacheField name="Country" numFmtId="0">
      <sharedItems/>
    </cacheField>
    <cacheField name="City" numFmtId="0">
      <sharedItems/>
    </cacheField>
    <cacheField name="State" numFmtId="0">
      <sharedItems/>
    </cacheField>
    <cacheField name="Region" numFmtId="0">
      <sharedItems count="5">
        <s v="East"/>
        <s v="South"/>
        <s v="West"/>
        <s v="Central"/>
        <s v="North"/>
      </sharedItems>
    </cacheField>
    <cacheField name="Category" numFmtId="0">
      <sharedItems count="3">
        <s v="Office Supplies"/>
        <s v="Technology"/>
        <s v="Furniture"/>
      </sharedItems>
    </cacheField>
    <cacheField name="Sub Category" numFmtId="0">
      <sharedItems count="6">
        <s v="Paper"/>
        <s v="Binders"/>
        <s v="Accessories"/>
        <s v="Phones"/>
        <s v="Chairs"/>
        <s v="Tables"/>
      </sharedItems>
    </cacheField>
    <cacheField name="Product Name" numFmtId="0">
      <sharedItems/>
    </cacheField>
    <cacheField name="Sales" numFmtId="0">
      <sharedItems containsSemiMixedTypes="0" containsString="0" containsNumber="1" minValue="20.059999999999999" maxValue="499.51"/>
    </cacheField>
    <cacheField name="Quantity" numFmtId="0">
      <sharedItems containsSemiMixedTypes="0" containsString="0" containsNumber="1" containsInteger="1" minValue="1" maxValue="10"/>
    </cacheField>
    <cacheField name="Profit" numFmtId="0">
      <sharedItems containsSemiMixedTypes="0" containsString="0" containsNumber="1" minValue="-139.94" maxValue="245.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d v="2025-05-23T00:00:00"/>
    <x v="0"/>
    <x v="0"/>
    <d v="2025-06-02T00:00:00"/>
    <n v="10"/>
    <x v="0"/>
    <s v="Customer 69"/>
    <x v="0"/>
    <s v="Canada"/>
    <s v="Toronto"/>
    <s v="Ontario"/>
    <x v="0"/>
    <x v="0"/>
    <x v="0"/>
    <s v="Product A"/>
    <n v="220.26"/>
    <n v="10"/>
    <n v="81.739999999999995"/>
  </r>
  <r>
    <n v="2"/>
    <d v="2024-07-14T00:00:00"/>
    <x v="1"/>
    <x v="1"/>
    <d v="2024-07-22T00:00:00"/>
    <n v="8"/>
    <x v="1"/>
    <s v="Customer 126"/>
    <x v="1"/>
    <s v="India"/>
    <s v="Bangalore"/>
    <s v="Karnataka"/>
    <x v="1"/>
    <x v="0"/>
    <x v="1"/>
    <s v="Product B"/>
    <n v="311.42"/>
    <n v="6"/>
    <n v="121.99"/>
  </r>
  <r>
    <n v="3"/>
    <d v="2022-06-19T00:00:00"/>
    <x v="2"/>
    <x v="2"/>
    <d v="2022-06-23T00:00:00"/>
    <n v="4"/>
    <x v="0"/>
    <s v="Customer 214"/>
    <x v="1"/>
    <s v="Canada"/>
    <s v="Vancouver"/>
    <s v="British Columbia"/>
    <x v="2"/>
    <x v="1"/>
    <x v="2"/>
    <s v="Product D"/>
    <n v="282.8"/>
    <n v="5"/>
    <n v="74.540000000000006"/>
  </r>
  <r>
    <n v="4"/>
    <d v="2022-10-21T00:00:00"/>
    <x v="2"/>
    <x v="3"/>
    <d v="2022-10-31T00:00:00"/>
    <n v="10"/>
    <x v="1"/>
    <s v="Customer 29"/>
    <x v="2"/>
    <s v="USA"/>
    <s v="Chicago"/>
    <s v="Illinois"/>
    <x v="3"/>
    <x v="0"/>
    <x v="0"/>
    <s v="Product C"/>
    <n v="418.18"/>
    <n v="8"/>
    <n v="-112.52"/>
  </r>
  <r>
    <n v="5"/>
    <d v="2020-01-31T00:00:00"/>
    <x v="3"/>
    <x v="4"/>
    <d v="2020-02-05T00:00:00"/>
    <n v="5"/>
    <x v="2"/>
    <s v="Customer 203"/>
    <x v="1"/>
    <s v="Canada"/>
    <s v="Montreal"/>
    <s v="Quebec"/>
    <x v="0"/>
    <x v="0"/>
    <x v="0"/>
    <s v="Product A"/>
    <n v="32.04"/>
    <n v="1"/>
    <n v="9.82"/>
  </r>
  <r>
    <n v="6"/>
    <d v="2022-03-10T00:00:00"/>
    <x v="2"/>
    <x v="5"/>
    <d v="2022-03-13T00:00:00"/>
    <n v="3"/>
    <x v="0"/>
    <s v="Customer 293"/>
    <x v="2"/>
    <s v="India"/>
    <s v="Delhi"/>
    <s v="Delhi"/>
    <x v="4"/>
    <x v="1"/>
    <x v="3"/>
    <s v="Product A"/>
    <n v="37.450000000000003"/>
    <n v="1"/>
    <n v="-4.0999999999999996"/>
  </r>
  <r>
    <n v="7"/>
    <d v="2020-09-30T00:00:00"/>
    <x v="3"/>
    <x v="6"/>
    <d v="2020-10-03T00:00:00"/>
    <n v="3"/>
    <x v="1"/>
    <s v="Customer 250"/>
    <x v="1"/>
    <s v="Canada"/>
    <s v="Toronto"/>
    <s v="Ontario"/>
    <x v="0"/>
    <x v="1"/>
    <x v="2"/>
    <s v="Product A"/>
    <n v="348.5"/>
    <n v="7"/>
    <n v="134.44"/>
  </r>
  <r>
    <n v="8"/>
    <d v="2021-04-01T00:00:00"/>
    <x v="4"/>
    <x v="7"/>
    <d v="2021-04-11T00:00:00"/>
    <n v="10"/>
    <x v="0"/>
    <s v="Customer 126"/>
    <x v="0"/>
    <s v="USA"/>
    <s v="New York"/>
    <s v="New York"/>
    <x v="0"/>
    <x v="0"/>
    <x v="1"/>
    <s v="Product C"/>
    <n v="491.16"/>
    <n v="8"/>
    <n v="214.43"/>
  </r>
  <r>
    <n v="9"/>
    <d v="2023-05-17T00:00:00"/>
    <x v="5"/>
    <x v="0"/>
    <d v="2023-05-20T00:00:00"/>
    <n v="3"/>
    <x v="3"/>
    <s v="Customer 231"/>
    <x v="2"/>
    <s v="Canada"/>
    <s v="Vancouver"/>
    <s v="British Columbia"/>
    <x v="2"/>
    <x v="0"/>
    <x v="0"/>
    <s v="Product D"/>
    <n v="356.67"/>
    <n v="3"/>
    <n v="159.19"/>
  </r>
  <r>
    <n v="10"/>
    <d v="2020-08-04T00:00:00"/>
    <x v="3"/>
    <x v="8"/>
    <d v="2020-08-09T00:00:00"/>
    <n v="5"/>
    <x v="2"/>
    <s v="Customer 67"/>
    <x v="1"/>
    <s v="Canada"/>
    <s v="Toronto"/>
    <s v="Ontario"/>
    <x v="0"/>
    <x v="2"/>
    <x v="4"/>
    <s v="Product D"/>
    <n v="350.26"/>
    <n v="5"/>
    <n v="117.02"/>
  </r>
  <r>
    <n v="11"/>
    <d v="2021-10-05T00:00:00"/>
    <x v="4"/>
    <x v="3"/>
    <d v="2021-10-08T00:00:00"/>
    <n v="3"/>
    <x v="2"/>
    <s v="Customer 289"/>
    <x v="2"/>
    <s v="Canada"/>
    <s v="Montreal"/>
    <s v="Quebec"/>
    <x v="0"/>
    <x v="0"/>
    <x v="0"/>
    <s v="Product C"/>
    <n v="465.44"/>
    <n v="1"/>
    <n v="-133.88999999999999"/>
  </r>
  <r>
    <n v="12"/>
    <d v="2021-02-26T00:00:00"/>
    <x v="4"/>
    <x v="9"/>
    <d v="2021-03-03T00:00:00"/>
    <n v="5"/>
    <x v="2"/>
    <s v="Customer 157"/>
    <x v="1"/>
    <s v="USA"/>
    <s v="Los Angeles"/>
    <s v="California"/>
    <x v="2"/>
    <x v="1"/>
    <x v="3"/>
    <s v="Product A"/>
    <n v="116.73"/>
    <n v="6"/>
    <n v="46.1"/>
  </r>
  <r>
    <n v="13"/>
    <d v="2022-07-26T00:00:00"/>
    <x v="2"/>
    <x v="1"/>
    <d v="2022-08-04T00:00:00"/>
    <n v="9"/>
    <x v="1"/>
    <s v="Customer 208"/>
    <x v="2"/>
    <s v="USA"/>
    <s v="Los Angeles"/>
    <s v="California"/>
    <x v="2"/>
    <x v="2"/>
    <x v="4"/>
    <s v="Product D"/>
    <n v="84.7"/>
    <n v="3"/>
    <n v="37.32"/>
  </r>
  <r>
    <n v="14"/>
    <d v="2020-12-11T00:00:00"/>
    <x v="3"/>
    <x v="10"/>
    <d v="2020-12-13T00:00:00"/>
    <n v="2"/>
    <x v="2"/>
    <s v="Customer 273"/>
    <x v="1"/>
    <s v="Canada"/>
    <s v="Toronto"/>
    <s v="Ontario"/>
    <x v="0"/>
    <x v="2"/>
    <x v="5"/>
    <s v="Product A"/>
    <n v="475.28"/>
    <n v="9"/>
    <n v="-10.89"/>
  </r>
  <r>
    <n v="15"/>
    <d v="2023-08-13T00:00:00"/>
    <x v="5"/>
    <x v="8"/>
    <d v="2023-08-19T00:00:00"/>
    <n v="6"/>
    <x v="2"/>
    <s v="Customer 231"/>
    <x v="0"/>
    <s v="USA"/>
    <s v="Chicago"/>
    <s v="Illinois"/>
    <x v="3"/>
    <x v="2"/>
    <x v="4"/>
    <s v="Product B"/>
    <n v="87.7"/>
    <n v="2"/>
    <n v="43.43"/>
  </r>
  <r>
    <n v="16"/>
    <d v="2024-05-09T00:00:00"/>
    <x v="1"/>
    <x v="0"/>
    <d v="2024-05-14T00:00:00"/>
    <n v="5"/>
    <x v="2"/>
    <s v="Customer 92"/>
    <x v="0"/>
    <s v="India"/>
    <s v="Mumbai"/>
    <s v="Maharashtra"/>
    <x v="2"/>
    <x v="0"/>
    <x v="1"/>
    <s v="Product A"/>
    <n v="357.82"/>
    <n v="3"/>
    <n v="18.02"/>
  </r>
  <r>
    <n v="17"/>
    <d v="2024-02-05T00:00:00"/>
    <x v="1"/>
    <x v="9"/>
    <d v="2024-02-15T00:00:00"/>
    <n v="10"/>
    <x v="1"/>
    <s v="Customer 29"/>
    <x v="1"/>
    <s v="Canada"/>
    <s v="Toronto"/>
    <s v="Ontario"/>
    <x v="0"/>
    <x v="1"/>
    <x v="2"/>
    <s v="Product C"/>
    <n v="422.01"/>
    <n v="6"/>
    <n v="-99.09"/>
  </r>
  <r>
    <n v="18"/>
    <d v="2021-11-23T00:00:00"/>
    <x v="4"/>
    <x v="11"/>
    <d v="2021-11-27T00:00:00"/>
    <n v="4"/>
    <x v="3"/>
    <s v="Customer 298"/>
    <x v="0"/>
    <s v="Canada"/>
    <s v="Toronto"/>
    <s v="Ontario"/>
    <x v="0"/>
    <x v="2"/>
    <x v="5"/>
    <s v="Product D"/>
    <n v="55.33"/>
    <n v="7"/>
    <n v="5.95"/>
  </r>
  <r>
    <n v="19"/>
    <d v="2023-10-08T00:00:00"/>
    <x v="5"/>
    <x v="3"/>
    <d v="2023-10-10T00:00:00"/>
    <n v="2"/>
    <x v="2"/>
    <s v="Customer 228"/>
    <x v="2"/>
    <s v="India"/>
    <s v="Delhi"/>
    <s v="Delhi"/>
    <x v="4"/>
    <x v="1"/>
    <x v="3"/>
    <s v="Product A"/>
    <n v="206.52"/>
    <n v="9"/>
    <n v="102.01"/>
  </r>
  <r>
    <n v="20"/>
    <d v="2022-10-16T00:00:00"/>
    <x v="2"/>
    <x v="3"/>
    <d v="2022-10-26T00:00:00"/>
    <n v="10"/>
    <x v="0"/>
    <s v="Customer 259"/>
    <x v="2"/>
    <s v="USA"/>
    <s v="Los Angeles"/>
    <s v="California"/>
    <x v="2"/>
    <x v="2"/>
    <x v="5"/>
    <s v="Product C"/>
    <n v="97.37"/>
    <n v="7"/>
    <n v="28.06"/>
  </r>
  <r>
    <n v="21"/>
    <d v="2024-05-25T00:00:00"/>
    <x v="1"/>
    <x v="0"/>
    <d v="2024-05-26T00:00:00"/>
    <n v="1"/>
    <x v="3"/>
    <s v="Customer 287"/>
    <x v="0"/>
    <s v="USA"/>
    <s v="New York"/>
    <s v="New York"/>
    <x v="0"/>
    <x v="0"/>
    <x v="0"/>
    <s v="Product A"/>
    <n v="327.75"/>
    <n v="7"/>
    <n v="-4.25"/>
  </r>
  <r>
    <n v="22"/>
    <d v="2021-08-03T00:00:00"/>
    <x v="4"/>
    <x v="8"/>
    <d v="2021-08-10T00:00:00"/>
    <n v="7"/>
    <x v="3"/>
    <s v="Customer 241"/>
    <x v="2"/>
    <s v="USA"/>
    <s v="Chicago"/>
    <s v="Illinois"/>
    <x v="3"/>
    <x v="0"/>
    <x v="1"/>
    <s v="Product A"/>
    <n v="415.38"/>
    <n v="1"/>
    <n v="205.57"/>
  </r>
  <r>
    <n v="23"/>
    <d v="2023-11-30T00:00:00"/>
    <x v="5"/>
    <x v="11"/>
    <d v="2023-12-04T00:00:00"/>
    <n v="4"/>
    <x v="3"/>
    <s v="Customer 192"/>
    <x v="2"/>
    <s v="USA"/>
    <s v="Los Angeles"/>
    <s v="California"/>
    <x v="2"/>
    <x v="0"/>
    <x v="0"/>
    <s v="Product A"/>
    <n v="160.69"/>
    <n v="5"/>
    <n v="-8.25"/>
  </r>
  <r>
    <n v="24"/>
    <d v="2021-02-22T00:00:00"/>
    <x v="4"/>
    <x v="9"/>
    <d v="2021-02-26T00:00:00"/>
    <n v="4"/>
    <x v="1"/>
    <s v="Customer 135"/>
    <x v="1"/>
    <s v="USA"/>
    <s v="Chicago"/>
    <s v="Illinois"/>
    <x v="3"/>
    <x v="0"/>
    <x v="1"/>
    <s v="Product D"/>
    <n v="137.09"/>
    <n v="10"/>
    <n v="51.21"/>
  </r>
  <r>
    <n v="25"/>
    <d v="2025-12-28T00:00:00"/>
    <x v="0"/>
    <x v="10"/>
    <d v="2026-01-04T00:00:00"/>
    <n v="7"/>
    <x v="2"/>
    <s v="Customer 285"/>
    <x v="2"/>
    <s v="Canada"/>
    <s v="Montreal"/>
    <s v="Quebec"/>
    <x v="0"/>
    <x v="2"/>
    <x v="5"/>
    <s v="Product D"/>
    <n v="335.78"/>
    <n v="10"/>
    <n v="100.06"/>
  </r>
  <r>
    <n v="26"/>
    <d v="2024-02-26T00:00:00"/>
    <x v="1"/>
    <x v="9"/>
    <d v="2024-03-03T00:00:00"/>
    <n v="6"/>
    <x v="3"/>
    <s v="Customer 250"/>
    <x v="1"/>
    <s v="Canada"/>
    <s v="Montreal"/>
    <s v="Quebec"/>
    <x v="0"/>
    <x v="1"/>
    <x v="2"/>
    <s v="Product D"/>
    <n v="476.62"/>
    <n v="9"/>
    <n v="166.15"/>
  </r>
  <r>
    <n v="27"/>
    <d v="2022-10-17T00:00:00"/>
    <x v="2"/>
    <x v="3"/>
    <d v="2022-10-27T00:00:00"/>
    <n v="10"/>
    <x v="1"/>
    <s v="Customer 109"/>
    <x v="2"/>
    <s v="India"/>
    <s v="Mumbai"/>
    <s v="Maharashtra"/>
    <x v="2"/>
    <x v="1"/>
    <x v="2"/>
    <s v="Product A"/>
    <n v="395.59"/>
    <n v="7"/>
    <n v="-108.16"/>
  </r>
  <r>
    <n v="28"/>
    <d v="2020-04-23T00:00:00"/>
    <x v="3"/>
    <x v="7"/>
    <d v="2020-04-28T00:00:00"/>
    <n v="5"/>
    <x v="0"/>
    <s v="Customer 264"/>
    <x v="0"/>
    <s v="Canada"/>
    <s v="Montreal"/>
    <s v="Quebec"/>
    <x v="0"/>
    <x v="0"/>
    <x v="1"/>
    <s v="Product B"/>
    <n v="349.19"/>
    <n v="4"/>
    <n v="-46"/>
  </r>
  <r>
    <n v="29"/>
    <d v="2020-09-12T00:00:00"/>
    <x v="3"/>
    <x v="6"/>
    <d v="2020-09-22T00:00:00"/>
    <n v="10"/>
    <x v="3"/>
    <s v="Customer 74"/>
    <x v="0"/>
    <s v="India"/>
    <s v="Delhi"/>
    <s v="Delhi"/>
    <x v="4"/>
    <x v="1"/>
    <x v="3"/>
    <s v="Product D"/>
    <n v="81.93"/>
    <n v="5"/>
    <n v="26.05"/>
  </r>
  <r>
    <n v="30"/>
    <d v="2021-08-01T00:00:00"/>
    <x v="4"/>
    <x v="8"/>
    <d v="2021-08-05T00:00:00"/>
    <n v="4"/>
    <x v="2"/>
    <s v="Customer 125"/>
    <x v="1"/>
    <s v="USA"/>
    <s v="New York"/>
    <s v="New York"/>
    <x v="0"/>
    <x v="1"/>
    <x v="3"/>
    <s v="Product C"/>
    <n v="223.71"/>
    <n v="5"/>
    <n v="-12.32"/>
  </r>
  <r>
    <n v="31"/>
    <d v="2021-07-11T00:00:00"/>
    <x v="4"/>
    <x v="1"/>
    <d v="2021-07-18T00:00:00"/>
    <n v="7"/>
    <x v="3"/>
    <s v="Customer 162"/>
    <x v="2"/>
    <s v="India"/>
    <s v="Mumbai"/>
    <s v="Maharashtra"/>
    <x v="2"/>
    <x v="0"/>
    <x v="1"/>
    <s v="Product D"/>
    <n v="473.61"/>
    <n v="9"/>
    <n v="-94.62"/>
  </r>
  <r>
    <n v="32"/>
    <d v="2025-10-05T00:00:00"/>
    <x v="0"/>
    <x v="3"/>
    <d v="2025-10-10T00:00:00"/>
    <n v="5"/>
    <x v="0"/>
    <s v="Customer 28"/>
    <x v="2"/>
    <s v="India"/>
    <s v="Delhi"/>
    <s v="Delhi"/>
    <x v="4"/>
    <x v="1"/>
    <x v="3"/>
    <s v="Product B"/>
    <n v="196.39"/>
    <n v="5"/>
    <n v="-7.69"/>
  </r>
  <r>
    <n v="33"/>
    <d v="2024-11-01T00:00:00"/>
    <x v="1"/>
    <x v="11"/>
    <d v="2024-11-11T00:00:00"/>
    <n v="10"/>
    <x v="2"/>
    <s v="Customer 194"/>
    <x v="2"/>
    <s v="USA"/>
    <s v="Los Angeles"/>
    <s v="California"/>
    <x v="2"/>
    <x v="2"/>
    <x v="4"/>
    <s v="Product A"/>
    <n v="448.39"/>
    <n v="4"/>
    <n v="-73.91"/>
  </r>
  <r>
    <n v="34"/>
    <d v="2025-09-24T00:00:00"/>
    <x v="0"/>
    <x v="6"/>
    <d v="2025-09-30T00:00:00"/>
    <n v="6"/>
    <x v="2"/>
    <s v="Customer 80"/>
    <x v="0"/>
    <s v="USA"/>
    <s v="New York"/>
    <s v="New York"/>
    <x v="0"/>
    <x v="1"/>
    <x v="2"/>
    <s v="Product D"/>
    <n v="182.03"/>
    <n v="5"/>
    <n v="22.01"/>
  </r>
  <r>
    <n v="35"/>
    <d v="2021-02-08T00:00:00"/>
    <x v="4"/>
    <x v="9"/>
    <d v="2021-02-18T00:00:00"/>
    <n v="10"/>
    <x v="1"/>
    <s v="Customer 140"/>
    <x v="0"/>
    <s v="USA"/>
    <s v="Los Angeles"/>
    <s v="California"/>
    <x v="2"/>
    <x v="0"/>
    <x v="1"/>
    <s v="Product D"/>
    <n v="20.2"/>
    <n v="10"/>
    <n v="3.2"/>
  </r>
  <r>
    <n v="36"/>
    <d v="2020-10-07T00:00:00"/>
    <x v="3"/>
    <x v="3"/>
    <d v="2020-10-12T00:00:00"/>
    <n v="5"/>
    <x v="3"/>
    <s v="Customer 145"/>
    <x v="0"/>
    <s v="Canada"/>
    <s v="Montreal"/>
    <s v="Quebec"/>
    <x v="0"/>
    <x v="1"/>
    <x v="3"/>
    <s v="Product C"/>
    <n v="178.37"/>
    <n v="9"/>
    <n v="-44.07"/>
  </r>
  <r>
    <n v="37"/>
    <d v="2021-12-12T00:00:00"/>
    <x v="4"/>
    <x v="10"/>
    <d v="2021-12-21T00:00:00"/>
    <n v="9"/>
    <x v="2"/>
    <s v="Customer 280"/>
    <x v="0"/>
    <s v="India"/>
    <s v="Mumbai"/>
    <s v="Maharashtra"/>
    <x v="2"/>
    <x v="1"/>
    <x v="2"/>
    <s v="Product B"/>
    <n v="113.92"/>
    <n v="3"/>
    <n v="-15.88"/>
  </r>
  <r>
    <n v="38"/>
    <d v="2025-12-13T00:00:00"/>
    <x v="0"/>
    <x v="10"/>
    <d v="2025-12-22T00:00:00"/>
    <n v="9"/>
    <x v="0"/>
    <s v="Customer 93"/>
    <x v="2"/>
    <s v="India"/>
    <s v="Delhi"/>
    <s v="Delhi"/>
    <x v="4"/>
    <x v="2"/>
    <x v="5"/>
    <s v="Product C"/>
    <n v="73.58"/>
    <n v="2"/>
    <n v="-14.03"/>
  </r>
  <r>
    <n v="39"/>
    <d v="2020-06-11T00:00:00"/>
    <x v="3"/>
    <x v="2"/>
    <d v="2020-06-15T00:00:00"/>
    <n v="4"/>
    <x v="2"/>
    <s v="Customer 62"/>
    <x v="0"/>
    <s v="Canada"/>
    <s v="Montreal"/>
    <s v="Quebec"/>
    <x v="0"/>
    <x v="1"/>
    <x v="3"/>
    <s v="Product A"/>
    <n v="455.96"/>
    <n v="6"/>
    <n v="-113.1"/>
  </r>
  <r>
    <n v="40"/>
    <d v="2025-07-29T00:00:00"/>
    <x v="0"/>
    <x v="1"/>
    <d v="2025-08-03T00:00:00"/>
    <n v="5"/>
    <x v="2"/>
    <s v="Customer 51"/>
    <x v="0"/>
    <s v="USA"/>
    <s v="Chicago"/>
    <s v="Illinois"/>
    <x v="3"/>
    <x v="2"/>
    <x v="5"/>
    <s v="Product C"/>
    <n v="92.75"/>
    <n v="7"/>
    <n v="-23.51"/>
  </r>
  <r>
    <n v="41"/>
    <d v="2021-09-04T00:00:00"/>
    <x v="4"/>
    <x v="6"/>
    <d v="2021-09-07T00:00:00"/>
    <n v="3"/>
    <x v="0"/>
    <s v="Customer 12"/>
    <x v="1"/>
    <s v="Canada"/>
    <s v="Vancouver"/>
    <s v="British Columbia"/>
    <x v="2"/>
    <x v="0"/>
    <x v="1"/>
    <s v="Product D"/>
    <n v="207.71"/>
    <n v="10"/>
    <n v="5.79"/>
  </r>
  <r>
    <n v="42"/>
    <d v="2023-09-07T00:00:00"/>
    <x v="5"/>
    <x v="6"/>
    <d v="2023-09-15T00:00:00"/>
    <n v="8"/>
    <x v="2"/>
    <s v="Customer 251"/>
    <x v="1"/>
    <s v="Canada"/>
    <s v="Montreal"/>
    <s v="Quebec"/>
    <x v="0"/>
    <x v="2"/>
    <x v="4"/>
    <s v="Product A"/>
    <n v="200.74"/>
    <n v="7"/>
    <n v="-23.1"/>
  </r>
  <r>
    <n v="43"/>
    <d v="2024-12-23T00:00:00"/>
    <x v="1"/>
    <x v="10"/>
    <d v="2024-12-31T00:00:00"/>
    <n v="8"/>
    <x v="3"/>
    <s v="Customer 19"/>
    <x v="0"/>
    <s v="India"/>
    <s v="Bangalore"/>
    <s v="Karnataka"/>
    <x v="1"/>
    <x v="2"/>
    <x v="4"/>
    <s v="Product C"/>
    <n v="482.92"/>
    <n v="4"/>
    <n v="147.96"/>
  </r>
  <r>
    <n v="44"/>
    <d v="2025-10-11T00:00:00"/>
    <x v="0"/>
    <x v="3"/>
    <d v="2025-10-13T00:00:00"/>
    <n v="2"/>
    <x v="2"/>
    <s v="Customer 212"/>
    <x v="0"/>
    <s v="India"/>
    <s v="Bangalore"/>
    <s v="Karnataka"/>
    <x v="1"/>
    <x v="1"/>
    <x v="2"/>
    <s v="Product D"/>
    <n v="29.54"/>
    <n v="8"/>
    <n v="4.4800000000000004"/>
  </r>
  <r>
    <n v="45"/>
    <d v="2025-01-15T00:00:00"/>
    <x v="0"/>
    <x v="4"/>
    <d v="2025-01-20T00:00:00"/>
    <n v="5"/>
    <x v="2"/>
    <s v="Customer 251"/>
    <x v="1"/>
    <s v="USA"/>
    <s v="Los Angeles"/>
    <s v="California"/>
    <x v="2"/>
    <x v="0"/>
    <x v="0"/>
    <s v="Product B"/>
    <n v="85.11"/>
    <n v="6"/>
    <n v="-3.34"/>
  </r>
  <r>
    <n v="46"/>
    <d v="2020-05-02T00:00:00"/>
    <x v="3"/>
    <x v="0"/>
    <d v="2020-05-10T00:00:00"/>
    <n v="8"/>
    <x v="1"/>
    <s v="Customer 126"/>
    <x v="2"/>
    <s v="Canada"/>
    <s v="Montreal"/>
    <s v="Quebec"/>
    <x v="0"/>
    <x v="1"/>
    <x v="2"/>
    <s v="Product C"/>
    <n v="251.12"/>
    <n v="2"/>
    <n v="-36.22"/>
  </r>
  <r>
    <n v="47"/>
    <d v="2020-07-22T00:00:00"/>
    <x v="3"/>
    <x v="1"/>
    <d v="2020-07-27T00:00:00"/>
    <n v="5"/>
    <x v="2"/>
    <s v="Customer 44"/>
    <x v="0"/>
    <s v="India"/>
    <s v="Mumbai"/>
    <s v="Maharashtra"/>
    <x v="2"/>
    <x v="0"/>
    <x v="1"/>
    <s v="Product C"/>
    <n v="306.67"/>
    <n v="5"/>
    <n v="-6.14"/>
  </r>
  <r>
    <n v="48"/>
    <d v="2024-07-18T00:00:00"/>
    <x v="1"/>
    <x v="1"/>
    <d v="2024-07-26T00:00:00"/>
    <n v="8"/>
    <x v="2"/>
    <s v="Customer 121"/>
    <x v="1"/>
    <s v="USA"/>
    <s v="Chicago"/>
    <s v="Illinois"/>
    <x v="3"/>
    <x v="0"/>
    <x v="1"/>
    <s v="Product B"/>
    <n v="172.6"/>
    <n v="9"/>
    <n v="-39.92"/>
  </r>
  <r>
    <n v="49"/>
    <d v="2025-10-12T00:00:00"/>
    <x v="0"/>
    <x v="3"/>
    <d v="2025-10-14T00:00:00"/>
    <n v="2"/>
    <x v="3"/>
    <s v="Customer 282"/>
    <x v="0"/>
    <s v="Canada"/>
    <s v="Vancouver"/>
    <s v="British Columbia"/>
    <x v="2"/>
    <x v="1"/>
    <x v="2"/>
    <s v="Product C"/>
    <n v="282.23"/>
    <n v="7"/>
    <n v="96.99"/>
  </r>
  <r>
    <n v="50"/>
    <d v="2022-06-02T00:00:00"/>
    <x v="2"/>
    <x v="2"/>
    <d v="2022-06-05T00:00:00"/>
    <n v="3"/>
    <x v="3"/>
    <s v="Customer 289"/>
    <x v="0"/>
    <s v="USA"/>
    <s v="New York"/>
    <s v="New York"/>
    <x v="0"/>
    <x v="2"/>
    <x v="5"/>
    <s v="Product A"/>
    <n v="345.57"/>
    <n v="2"/>
    <n v="-42.93"/>
  </r>
  <r>
    <n v="51"/>
    <d v="2020-03-07T00:00:00"/>
    <x v="3"/>
    <x v="5"/>
    <d v="2020-03-15T00:00:00"/>
    <n v="8"/>
    <x v="3"/>
    <s v="Customer 223"/>
    <x v="1"/>
    <s v="India"/>
    <s v="Delhi"/>
    <s v="Delhi"/>
    <x v="4"/>
    <x v="0"/>
    <x v="0"/>
    <s v="Product C"/>
    <n v="265.60000000000002"/>
    <n v="1"/>
    <n v="40.61"/>
  </r>
  <r>
    <n v="52"/>
    <d v="2025-11-16T00:00:00"/>
    <x v="0"/>
    <x v="11"/>
    <d v="2025-11-17T00:00:00"/>
    <n v="1"/>
    <x v="0"/>
    <s v="Customer 198"/>
    <x v="1"/>
    <s v="India"/>
    <s v="Mumbai"/>
    <s v="Maharashtra"/>
    <x v="2"/>
    <x v="2"/>
    <x v="4"/>
    <s v="Product C"/>
    <n v="214.16"/>
    <n v="9"/>
    <n v="47.29"/>
  </r>
  <r>
    <n v="53"/>
    <d v="2023-10-30T00:00:00"/>
    <x v="5"/>
    <x v="3"/>
    <d v="2023-11-02T00:00:00"/>
    <n v="3"/>
    <x v="2"/>
    <s v="Customer 126"/>
    <x v="0"/>
    <s v="Canada"/>
    <s v="Toronto"/>
    <s v="Ontario"/>
    <x v="0"/>
    <x v="2"/>
    <x v="5"/>
    <s v="Product C"/>
    <n v="269.35000000000002"/>
    <n v="7"/>
    <n v="73.87"/>
  </r>
  <r>
    <n v="54"/>
    <d v="2020-12-04T00:00:00"/>
    <x v="3"/>
    <x v="10"/>
    <d v="2020-12-13T00:00:00"/>
    <n v="9"/>
    <x v="2"/>
    <s v="Customer 98"/>
    <x v="1"/>
    <s v="USA"/>
    <s v="Los Angeles"/>
    <s v="California"/>
    <x v="2"/>
    <x v="0"/>
    <x v="0"/>
    <s v="Product C"/>
    <n v="319.77"/>
    <n v="9"/>
    <n v="6.6"/>
  </r>
  <r>
    <n v="55"/>
    <d v="2020-05-31T00:00:00"/>
    <x v="3"/>
    <x v="0"/>
    <d v="2020-06-05T00:00:00"/>
    <n v="5"/>
    <x v="1"/>
    <s v="Customer 22"/>
    <x v="1"/>
    <s v="USA"/>
    <s v="Los Angeles"/>
    <s v="California"/>
    <x v="2"/>
    <x v="2"/>
    <x v="5"/>
    <s v="Product C"/>
    <n v="255.91"/>
    <n v="8"/>
    <n v="75.05"/>
  </r>
  <r>
    <n v="56"/>
    <d v="2020-02-24T00:00:00"/>
    <x v="3"/>
    <x v="9"/>
    <d v="2020-02-28T00:00:00"/>
    <n v="4"/>
    <x v="2"/>
    <s v="Customer 94"/>
    <x v="2"/>
    <s v="Canada"/>
    <s v="Vancouver"/>
    <s v="British Columbia"/>
    <x v="2"/>
    <x v="0"/>
    <x v="0"/>
    <s v="Product B"/>
    <n v="384.78"/>
    <n v="2"/>
    <n v="-60.54"/>
  </r>
  <r>
    <n v="57"/>
    <d v="2020-02-13T00:00:00"/>
    <x v="3"/>
    <x v="9"/>
    <d v="2020-02-20T00:00:00"/>
    <n v="7"/>
    <x v="3"/>
    <s v="Customer 158"/>
    <x v="0"/>
    <s v="USA"/>
    <s v="Los Angeles"/>
    <s v="California"/>
    <x v="2"/>
    <x v="2"/>
    <x v="4"/>
    <s v="Product C"/>
    <n v="440.93"/>
    <n v="6"/>
    <n v="-67.790000000000006"/>
  </r>
  <r>
    <n v="58"/>
    <d v="2025-11-22T00:00:00"/>
    <x v="0"/>
    <x v="11"/>
    <d v="2025-12-02T00:00:00"/>
    <n v="10"/>
    <x v="1"/>
    <s v="Customer 40"/>
    <x v="2"/>
    <s v="USA"/>
    <s v="Los Angeles"/>
    <s v="California"/>
    <x v="2"/>
    <x v="1"/>
    <x v="2"/>
    <s v="Product C"/>
    <n v="461.78"/>
    <n v="1"/>
    <n v="224.4"/>
  </r>
  <r>
    <n v="59"/>
    <d v="2020-08-18T00:00:00"/>
    <x v="3"/>
    <x v="8"/>
    <d v="2020-08-25T00:00:00"/>
    <n v="7"/>
    <x v="1"/>
    <s v="Customer 118"/>
    <x v="1"/>
    <s v="Canada"/>
    <s v="Montreal"/>
    <s v="Quebec"/>
    <x v="0"/>
    <x v="2"/>
    <x v="4"/>
    <s v="Product C"/>
    <n v="154.01"/>
    <n v="3"/>
    <n v="28.59"/>
  </r>
  <r>
    <n v="60"/>
    <d v="2021-01-02T00:00:00"/>
    <x v="4"/>
    <x v="4"/>
    <d v="2021-01-09T00:00:00"/>
    <n v="7"/>
    <x v="0"/>
    <s v="Customer 184"/>
    <x v="1"/>
    <s v="USA"/>
    <s v="New York"/>
    <s v="New York"/>
    <x v="0"/>
    <x v="2"/>
    <x v="5"/>
    <s v="Product B"/>
    <n v="445.01"/>
    <n v="6"/>
    <n v="160.62"/>
  </r>
  <r>
    <n v="61"/>
    <d v="2023-07-09T00:00:00"/>
    <x v="5"/>
    <x v="1"/>
    <d v="2023-07-10T00:00:00"/>
    <n v="1"/>
    <x v="0"/>
    <s v="Customer 15"/>
    <x v="0"/>
    <s v="Canada"/>
    <s v="Montreal"/>
    <s v="Quebec"/>
    <x v="0"/>
    <x v="1"/>
    <x v="3"/>
    <s v="Product C"/>
    <n v="440.57"/>
    <n v="2"/>
    <n v="94.05"/>
  </r>
  <r>
    <n v="62"/>
    <d v="2025-07-11T00:00:00"/>
    <x v="0"/>
    <x v="1"/>
    <d v="2025-07-17T00:00:00"/>
    <n v="6"/>
    <x v="0"/>
    <s v="Customer 206"/>
    <x v="2"/>
    <s v="USA"/>
    <s v="New York"/>
    <s v="New York"/>
    <x v="0"/>
    <x v="1"/>
    <x v="3"/>
    <s v="Product A"/>
    <n v="42.58"/>
    <n v="2"/>
    <n v="-7.24"/>
  </r>
  <r>
    <n v="63"/>
    <d v="2023-12-16T00:00:00"/>
    <x v="5"/>
    <x v="10"/>
    <d v="2023-12-20T00:00:00"/>
    <n v="4"/>
    <x v="1"/>
    <s v="Customer 104"/>
    <x v="2"/>
    <s v="USA"/>
    <s v="Chicago"/>
    <s v="Illinois"/>
    <x v="3"/>
    <x v="2"/>
    <x v="5"/>
    <s v="Product C"/>
    <n v="99.36"/>
    <n v="2"/>
    <n v="-24.41"/>
  </r>
  <r>
    <n v="64"/>
    <d v="2023-03-31T00:00:00"/>
    <x v="5"/>
    <x v="5"/>
    <d v="2023-04-02T00:00:00"/>
    <n v="2"/>
    <x v="0"/>
    <s v="Customer 42"/>
    <x v="1"/>
    <s v="USA"/>
    <s v="Chicago"/>
    <s v="Illinois"/>
    <x v="3"/>
    <x v="2"/>
    <x v="5"/>
    <s v="Product D"/>
    <n v="88.74"/>
    <n v="7"/>
    <n v="25.33"/>
  </r>
  <r>
    <n v="65"/>
    <d v="2025-06-12T00:00:00"/>
    <x v="0"/>
    <x v="2"/>
    <d v="2025-06-15T00:00:00"/>
    <n v="3"/>
    <x v="3"/>
    <s v="Customer 54"/>
    <x v="2"/>
    <s v="Canada"/>
    <s v="Vancouver"/>
    <s v="British Columbia"/>
    <x v="2"/>
    <x v="1"/>
    <x v="3"/>
    <s v="Product B"/>
    <n v="283.38"/>
    <n v="2"/>
    <n v="141.35"/>
  </r>
  <r>
    <n v="66"/>
    <d v="2021-06-15T00:00:00"/>
    <x v="4"/>
    <x v="2"/>
    <d v="2021-06-16T00:00:00"/>
    <n v="1"/>
    <x v="1"/>
    <s v="Customer 120"/>
    <x v="2"/>
    <s v="Canada"/>
    <s v="Toronto"/>
    <s v="Ontario"/>
    <x v="0"/>
    <x v="1"/>
    <x v="3"/>
    <s v="Product B"/>
    <n v="49.57"/>
    <n v="3"/>
    <n v="-9.65"/>
  </r>
  <r>
    <n v="67"/>
    <d v="2024-08-19T00:00:00"/>
    <x v="1"/>
    <x v="8"/>
    <d v="2024-08-22T00:00:00"/>
    <n v="3"/>
    <x v="2"/>
    <s v="Customer 108"/>
    <x v="2"/>
    <s v="India"/>
    <s v="Mumbai"/>
    <s v="Maharashtra"/>
    <x v="2"/>
    <x v="0"/>
    <x v="1"/>
    <s v="Product B"/>
    <n v="326.23"/>
    <n v="9"/>
    <n v="150.61000000000001"/>
  </r>
  <r>
    <n v="68"/>
    <d v="2024-05-27T00:00:00"/>
    <x v="1"/>
    <x v="0"/>
    <d v="2024-06-01T00:00:00"/>
    <n v="5"/>
    <x v="2"/>
    <s v="Customer 197"/>
    <x v="1"/>
    <s v="Canada"/>
    <s v="Montreal"/>
    <s v="Quebec"/>
    <x v="0"/>
    <x v="0"/>
    <x v="1"/>
    <s v="Product C"/>
    <n v="24.05"/>
    <n v="4"/>
    <n v="5.72"/>
  </r>
  <r>
    <n v="69"/>
    <d v="2024-01-23T00:00:00"/>
    <x v="1"/>
    <x v="4"/>
    <d v="2024-01-29T00:00:00"/>
    <n v="6"/>
    <x v="3"/>
    <s v="Customer 189"/>
    <x v="0"/>
    <s v="Canada"/>
    <s v="Montreal"/>
    <s v="Quebec"/>
    <x v="0"/>
    <x v="2"/>
    <x v="4"/>
    <s v="Product B"/>
    <n v="107.87"/>
    <n v="8"/>
    <n v="43.8"/>
  </r>
  <r>
    <n v="70"/>
    <d v="2021-08-04T00:00:00"/>
    <x v="4"/>
    <x v="8"/>
    <d v="2021-08-12T00:00:00"/>
    <n v="8"/>
    <x v="2"/>
    <s v="Customer 19"/>
    <x v="2"/>
    <s v="Canada"/>
    <s v="Montreal"/>
    <s v="Quebec"/>
    <x v="0"/>
    <x v="0"/>
    <x v="1"/>
    <s v="Product B"/>
    <n v="327.37"/>
    <n v="7"/>
    <n v="102.81"/>
  </r>
  <r>
    <n v="71"/>
    <d v="2024-02-28T00:00:00"/>
    <x v="1"/>
    <x v="9"/>
    <d v="2024-03-01T00:00:00"/>
    <n v="2"/>
    <x v="1"/>
    <s v="Customer 205"/>
    <x v="2"/>
    <s v="Canada"/>
    <s v="Montreal"/>
    <s v="Quebec"/>
    <x v="0"/>
    <x v="0"/>
    <x v="1"/>
    <s v="Product B"/>
    <n v="224.85"/>
    <n v="7"/>
    <n v="40.450000000000003"/>
  </r>
  <r>
    <n v="72"/>
    <d v="2025-02-12T00:00:00"/>
    <x v="0"/>
    <x v="9"/>
    <d v="2025-02-19T00:00:00"/>
    <n v="7"/>
    <x v="2"/>
    <s v="Customer 248"/>
    <x v="0"/>
    <s v="India"/>
    <s v="Mumbai"/>
    <s v="Maharashtra"/>
    <x v="2"/>
    <x v="2"/>
    <x v="5"/>
    <s v="Product D"/>
    <n v="293.02"/>
    <n v="6"/>
    <n v="-65.14"/>
  </r>
  <r>
    <n v="73"/>
    <d v="2023-04-15T00:00:00"/>
    <x v="5"/>
    <x v="7"/>
    <d v="2023-04-23T00:00:00"/>
    <n v="8"/>
    <x v="1"/>
    <s v="Customer 168"/>
    <x v="2"/>
    <s v="Canada"/>
    <s v="Toronto"/>
    <s v="Ontario"/>
    <x v="0"/>
    <x v="1"/>
    <x v="2"/>
    <s v="Product A"/>
    <n v="371.87"/>
    <n v="1"/>
    <n v="174.59"/>
  </r>
  <r>
    <n v="74"/>
    <d v="2023-01-13T00:00:00"/>
    <x v="5"/>
    <x v="4"/>
    <d v="2023-01-14T00:00:00"/>
    <n v="1"/>
    <x v="2"/>
    <s v="Customer 97"/>
    <x v="2"/>
    <s v="Canada"/>
    <s v="Montreal"/>
    <s v="Quebec"/>
    <x v="0"/>
    <x v="2"/>
    <x v="4"/>
    <s v="Product A"/>
    <n v="431.34"/>
    <n v="2"/>
    <n v="-11.08"/>
  </r>
  <r>
    <n v="75"/>
    <d v="2021-05-23T00:00:00"/>
    <x v="4"/>
    <x v="0"/>
    <d v="2021-05-31T00:00:00"/>
    <n v="8"/>
    <x v="3"/>
    <s v="Customer 124"/>
    <x v="0"/>
    <s v="USA"/>
    <s v="Los Angeles"/>
    <s v="California"/>
    <x v="2"/>
    <x v="0"/>
    <x v="1"/>
    <s v="Product A"/>
    <n v="213.65"/>
    <n v="3"/>
    <n v="27.06"/>
  </r>
  <r>
    <n v="76"/>
    <d v="2020-07-23T00:00:00"/>
    <x v="3"/>
    <x v="1"/>
    <d v="2020-07-24T00:00:00"/>
    <n v="1"/>
    <x v="3"/>
    <s v="Customer 54"/>
    <x v="2"/>
    <s v="USA"/>
    <s v="Chicago"/>
    <s v="Illinois"/>
    <x v="3"/>
    <x v="2"/>
    <x v="4"/>
    <s v="Product C"/>
    <n v="316.3"/>
    <n v="2"/>
    <n v="101.08"/>
  </r>
  <r>
    <n v="77"/>
    <d v="2021-08-26T00:00:00"/>
    <x v="4"/>
    <x v="8"/>
    <d v="2021-09-01T00:00:00"/>
    <n v="6"/>
    <x v="0"/>
    <s v="Customer 160"/>
    <x v="0"/>
    <s v="India"/>
    <s v="Mumbai"/>
    <s v="Maharashtra"/>
    <x v="2"/>
    <x v="0"/>
    <x v="1"/>
    <s v="Product A"/>
    <n v="345.6"/>
    <n v="6"/>
    <n v="158.76"/>
  </r>
  <r>
    <n v="78"/>
    <d v="2021-12-16T00:00:00"/>
    <x v="4"/>
    <x v="10"/>
    <d v="2021-12-21T00:00:00"/>
    <n v="5"/>
    <x v="2"/>
    <s v="Customer 120"/>
    <x v="1"/>
    <s v="Canada"/>
    <s v="Vancouver"/>
    <s v="British Columbia"/>
    <x v="2"/>
    <x v="1"/>
    <x v="2"/>
    <s v="Product D"/>
    <n v="33.549999999999997"/>
    <n v="4"/>
    <n v="-8.0399999999999991"/>
  </r>
  <r>
    <n v="79"/>
    <d v="2022-03-11T00:00:00"/>
    <x v="2"/>
    <x v="5"/>
    <d v="2022-03-16T00:00:00"/>
    <n v="5"/>
    <x v="3"/>
    <s v="Customer 34"/>
    <x v="2"/>
    <s v="India"/>
    <s v="Delhi"/>
    <s v="Delhi"/>
    <x v="4"/>
    <x v="0"/>
    <x v="0"/>
    <s v="Product C"/>
    <n v="328.38"/>
    <n v="9"/>
    <n v="51.16"/>
  </r>
  <r>
    <n v="80"/>
    <d v="2023-02-15T00:00:00"/>
    <x v="5"/>
    <x v="9"/>
    <d v="2023-02-21T00:00:00"/>
    <n v="6"/>
    <x v="2"/>
    <s v="Customer 124"/>
    <x v="0"/>
    <s v="Canada"/>
    <s v="Vancouver"/>
    <s v="British Columbia"/>
    <x v="2"/>
    <x v="0"/>
    <x v="0"/>
    <s v="Product D"/>
    <n v="331.86"/>
    <n v="4"/>
    <n v="-47.87"/>
  </r>
  <r>
    <n v="81"/>
    <d v="2023-05-15T00:00:00"/>
    <x v="5"/>
    <x v="0"/>
    <d v="2023-05-16T00:00:00"/>
    <n v="1"/>
    <x v="1"/>
    <s v="Customer 249"/>
    <x v="1"/>
    <s v="India"/>
    <s v="Delhi"/>
    <s v="Delhi"/>
    <x v="4"/>
    <x v="0"/>
    <x v="1"/>
    <s v="Product A"/>
    <n v="342.13"/>
    <n v="10"/>
    <n v="141.02000000000001"/>
  </r>
  <r>
    <n v="82"/>
    <d v="2021-02-17T00:00:00"/>
    <x v="4"/>
    <x v="9"/>
    <d v="2021-02-27T00:00:00"/>
    <n v="10"/>
    <x v="2"/>
    <s v="Customer 300"/>
    <x v="0"/>
    <s v="Canada"/>
    <s v="Vancouver"/>
    <s v="British Columbia"/>
    <x v="2"/>
    <x v="0"/>
    <x v="1"/>
    <s v="Product B"/>
    <n v="115.41"/>
    <n v="6"/>
    <n v="53.74"/>
  </r>
  <r>
    <n v="83"/>
    <d v="2024-09-26T00:00:00"/>
    <x v="1"/>
    <x v="6"/>
    <d v="2024-10-03T00:00:00"/>
    <n v="7"/>
    <x v="1"/>
    <s v="Customer 49"/>
    <x v="0"/>
    <s v="India"/>
    <s v="Mumbai"/>
    <s v="Maharashtra"/>
    <x v="2"/>
    <x v="0"/>
    <x v="1"/>
    <s v="Product D"/>
    <n v="459.27"/>
    <n v="9"/>
    <n v="103.14"/>
  </r>
  <r>
    <n v="84"/>
    <d v="2021-08-29T00:00:00"/>
    <x v="4"/>
    <x v="8"/>
    <d v="2021-09-08T00:00:00"/>
    <n v="10"/>
    <x v="0"/>
    <s v="Customer 224"/>
    <x v="1"/>
    <s v="India"/>
    <s v="Bangalore"/>
    <s v="Karnataka"/>
    <x v="1"/>
    <x v="2"/>
    <x v="4"/>
    <s v="Product B"/>
    <n v="193.71"/>
    <n v="4"/>
    <n v="88.16"/>
  </r>
  <r>
    <n v="85"/>
    <d v="2021-02-16T00:00:00"/>
    <x v="4"/>
    <x v="9"/>
    <d v="2021-02-26T00:00:00"/>
    <n v="10"/>
    <x v="0"/>
    <s v="Customer 177"/>
    <x v="0"/>
    <s v="India"/>
    <s v="Delhi"/>
    <s v="Delhi"/>
    <x v="4"/>
    <x v="2"/>
    <x v="5"/>
    <s v="Product C"/>
    <n v="362.45"/>
    <n v="4"/>
    <n v="-94.43"/>
  </r>
  <r>
    <n v="86"/>
    <d v="2024-11-10T00:00:00"/>
    <x v="1"/>
    <x v="11"/>
    <d v="2024-11-12T00:00:00"/>
    <n v="2"/>
    <x v="0"/>
    <s v="Customer 67"/>
    <x v="2"/>
    <s v="USA"/>
    <s v="New York"/>
    <s v="New York"/>
    <x v="0"/>
    <x v="0"/>
    <x v="0"/>
    <s v="Product B"/>
    <n v="396.85"/>
    <n v="1"/>
    <n v="83.66"/>
  </r>
  <r>
    <n v="87"/>
    <d v="2021-12-01T00:00:00"/>
    <x v="4"/>
    <x v="10"/>
    <d v="2021-12-05T00:00:00"/>
    <n v="4"/>
    <x v="0"/>
    <s v="Customer 243"/>
    <x v="0"/>
    <s v="Canada"/>
    <s v="Toronto"/>
    <s v="Ontario"/>
    <x v="0"/>
    <x v="2"/>
    <x v="4"/>
    <s v="Product A"/>
    <n v="46.17"/>
    <n v="1"/>
    <n v="2.2599999999999998"/>
  </r>
  <r>
    <n v="88"/>
    <d v="2022-12-20T00:00:00"/>
    <x v="2"/>
    <x v="10"/>
    <d v="2022-12-27T00:00:00"/>
    <n v="7"/>
    <x v="1"/>
    <s v="Customer 278"/>
    <x v="1"/>
    <s v="India"/>
    <s v="Bangalore"/>
    <s v="Karnataka"/>
    <x v="1"/>
    <x v="0"/>
    <x v="1"/>
    <s v="Product D"/>
    <n v="496.08"/>
    <n v="6"/>
    <n v="106.27"/>
  </r>
  <r>
    <n v="89"/>
    <d v="2022-12-22T00:00:00"/>
    <x v="2"/>
    <x v="10"/>
    <d v="2022-12-25T00:00:00"/>
    <n v="3"/>
    <x v="2"/>
    <s v="Customer 122"/>
    <x v="0"/>
    <s v="Canada"/>
    <s v="Montreal"/>
    <s v="Quebec"/>
    <x v="0"/>
    <x v="0"/>
    <x v="1"/>
    <s v="Product D"/>
    <n v="451.39"/>
    <n v="3"/>
    <n v="-127.45"/>
  </r>
  <r>
    <n v="90"/>
    <d v="2024-03-06T00:00:00"/>
    <x v="1"/>
    <x v="5"/>
    <d v="2024-03-13T00:00:00"/>
    <n v="7"/>
    <x v="3"/>
    <s v="Customer 159"/>
    <x v="2"/>
    <s v="India"/>
    <s v="Bangalore"/>
    <s v="Karnataka"/>
    <x v="1"/>
    <x v="2"/>
    <x v="4"/>
    <s v="Product A"/>
    <n v="52.26"/>
    <n v="9"/>
    <n v="6.14"/>
  </r>
  <r>
    <n v="91"/>
    <d v="2023-04-13T00:00:00"/>
    <x v="5"/>
    <x v="7"/>
    <d v="2023-04-14T00:00:00"/>
    <n v="1"/>
    <x v="3"/>
    <s v="Customer 103"/>
    <x v="2"/>
    <s v="USA"/>
    <s v="New York"/>
    <s v="New York"/>
    <x v="0"/>
    <x v="0"/>
    <x v="0"/>
    <s v="Product A"/>
    <n v="118.81"/>
    <n v="4"/>
    <n v="45.2"/>
  </r>
  <r>
    <n v="92"/>
    <d v="2024-09-25T00:00:00"/>
    <x v="1"/>
    <x v="6"/>
    <d v="2024-09-28T00:00:00"/>
    <n v="3"/>
    <x v="2"/>
    <s v="Customer 114"/>
    <x v="2"/>
    <s v="India"/>
    <s v="Bangalore"/>
    <s v="Karnataka"/>
    <x v="1"/>
    <x v="2"/>
    <x v="5"/>
    <s v="Product C"/>
    <n v="145.61000000000001"/>
    <n v="6"/>
    <n v="57.2"/>
  </r>
  <r>
    <n v="93"/>
    <d v="2025-11-22T00:00:00"/>
    <x v="0"/>
    <x v="11"/>
    <d v="2025-11-25T00:00:00"/>
    <n v="3"/>
    <x v="1"/>
    <s v="Customer 223"/>
    <x v="0"/>
    <s v="Canada"/>
    <s v="Montreal"/>
    <s v="Quebec"/>
    <x v="0"/>
    <x v="2"/>
    <x v="4"/>
    <s v="Product B"/>
    <n v="315.47000000000003"/>
    <n v="7"/>
    <n v="3.07"/>
  </r>
  <r>
    <n v="94"/>
    <d v="2022-03-28T00:00:00"/>
    <x v="2"/>
    <x v="5"/>
    <d v="2022-03-30T00:00:00"/>
    <n v="2"/>
    <x v="1"/>
    <s v="Customer 238"/>
    <x v="0"/>
    <s v="India"/>
    <s v="Mumbai"/>
    <s v="Maharashtra"/>
    <x v="2"/>
    <x v="1"/>
    <x v="3"/>
    <s v="Product D"/>
    <n v="126.33"/>
    <n v="1"/>
    <n v="16.899999999999999"/>
  </r>
  <r>
    <n v="95"/>
    <d v="2020-11-13T00:00:00"/>
    <x v="3"/>
    <x v="11"/>
    <d v="2020-11-18T00:00:00"/>
    <n v="5"/>
    <x v="1"/>
    <s v="Customer 276"/>
    <x v="1"/>
    <s v="Canada"/>
    <s v="Montreal"/>
    <s v="Quebec"/>
    <x v="0"/>
    <x v="1"/>
    <x v="3"/>
    <s v="Product A"/>
    <n v="148.21"/>
    <n v="3"/>
    <n v="21.77"/>
  </r>
  <r>
    <n v="96"/>
    <d v="2025-09-21T00:00:00"/>
    <x v="0"/>
    <x v="6"/>
    <d v="2025-09-28T00:00:00"/>
    <n v="7"/>
    <x v="2"/>
    <s v="Customer 41"/>
    <x v="1"/>
    <s v="Canada"/>
    <s v="Vancouver"/>
    <s v="British Columbia"/>
    <x v="2"/>
    <x v="1"/>
    <x v="2"/>
    <s v="Product B"/>
    <n v="248.41"/>
    <n v="2"/>
    <n v="-1.21"/>
  </r>
  <r>
    <n v="97"/>
    <d v="2020-08-22T00:00:00"/>
    <x v="3"/>
    <x v="8"/>
    <d v="2020-08-27T00:00:00"/>
    <n v="5"/>
    <x v="2"/>
    <s v="Customer 237"/>
    <x v="1"/>
    <s v="USA"/>
    <s v="Los Angeles"/>
    <s v="California"/>
    <x v="2"/>
    <x v="1"/>
    <x v="3"/>
    <s v="Product A"/>
    <n v="37.57"/>
    <n v="5"/>
    <n v="18.5"/>
  </r>
  <r>
    <n v="98"/>
    <d v="2024-01-12T00:00:00"/>
    <x v="1"/>
    <x v="4"/>
    <d v="2024-01-20T00:00:00"/>
    <n v="8"/>
    <x v="0"/>
    <s v="Customer 172"/>
    <x v="1"/>
    <s v="USA"/>
    <s v="Chicago"/>
    <s v="Illinois"/>
    <x v="3"/>
    <x v="2"/>
    <x v="4"/>
    <s v="Product A"/>
    <n v="448.49"/>
    <n v="3"/>
    <n v="-13.51"/>
  </r>
  <r>
    <n v="99"/>
    <d v="2023-07-23T00:00:00"/>
    <x v="5"/>
    <x v="1"/>
    <d v="2023-07-25T00:00:00"/>
    <n v="2"/>
    <x v="1"/>
    <s v="Customer 158"/>
    <x v="0"/>
    <s v="USA"/>
    <s v="Los Angeles"/>
    <s v="California"/>
    <x v="2"/>
    <x v="1"/>
    <x v="3"/>
    <s v="Product B"/>
    <n v="369.87"/>
    <n v="8"/>
    <n v="21.98"/>
  </r>
  <r>
    <n v="100"/>
    <d v="2025-05-07T00:00:00"/>
    <x v="0"/>
    <x v="0"/>
    <d v="2025-05-11T00:00:00"/>
    <n v="4"/>
    <x v="3"/>
    <s v="Customer 240"/>
    <x v="2"/>
    <s v="India"/>
    <s v="Bangalore"/>
    <s v="Karnataka"/>
    <x v="1"/>
    <x v="2"/>
    <x v="5"/>
    <s v="Product B"/>
    <n v="237.23"/>
    <n v="5"/>
    <n v="-38.75"/>
  </r>
  <r>
    <n v="101"/>
    <d v="2021-08-15T00:00:00"/>
    <x v="4"/>
    <x v="8"/>
    <d v="2021-08-18T00:00:00"/>
    <n v="3"/>
    <x v="2"/>
    <s v="Customer 108"/>
    <x v="0"/>
    <s v="USA"/>
    <s v="Los Angeles"/>
    <s v="California"/>
    <x v="2"/>
    <x v="1"/>
    <x v="3"/>
    <s v="Product C"/>
    <n v="376.2"/>
    <n v="7"/>
    <n v="128.32"/>
  </r>
  <r>
    <n v="102"/>
    <d v="2020-12-14T00:00:00"/>
    <x v="3"/>
    <x v="10"/>
    <d v="2020-12-24T00:00:00"/>
    <n v="10"/>
    <x v="0"/>
    <s v="Customer 138"/>
    <x v="1"/>
    <s v="Canada"/>
    <s v="Montreal"/>
    <s v="Quebec"/>
    <x v="0"/>
    <x v="0"/>
    <x v="0"/>
    <s v="Product B"/>
    <n v="426.5"/>
    <n v="5"/>
    <n v="87.58"/>
  </r>
  <r>
    <n v="103"/>
    <d v="2021-10-21T00:00:00"/>
    <x v="4"/>
    <x v="3"/>
    <d v="2021-10-29T00:00:00"/>
    <n v="8"/>
    <x v="3"/>
    <s v="Customer 59"/>
    <x v="2"/>
    <s v="USA"/>
    <s v="Chicago"/>
    <s v="Illinois"/>
    <x v="3"/>
    <x v="0"/>
    <x v="0"/>
    <s v="Product C"/>
    <n v="209.5"/>
    <n v="5"/>
    <n v="52.57"/>
  </r>
  <r>
    <n v="104"/>
    <d v="2020-05-13T00:00:00"/>
    <x v="3"/>
    <x v="0"/>
    <d v="2020-05-22T00:00:00"/>
    <n v="9"/>
    <x v="0"/>
    <s v="Customer 166"/>
    <x v="1"/>
    <s v="USA"/>
    <s v="Los Angeles"/>
    <s v="California"/>
    <x v="2"/>
    <x v="2"/>
    <x v="5"/>
    <s v="Product B"/>
    <n v="237.7"/>
    <n v="5"/>
    <n v="-38.32"/>
  </r>
  <r>
    <n v="105"/>
    <d v="2022-07-29T00:00:00"/>
    <x v="2"/>
    <x v="1"/>
    <d v="2022-08-04T00:00:00"/>
    <n v="6"/>
    <x v="2"/>
    <s v="Customer 148"/>
    <x v="0"/>
    <s v="USA"/>
    <s v="Los Angeles"/>
    <s v="California"/>
    <x v="2"/>
    <x v="1"/>
    <x v="3"/>
    <s v="Product C"/>
    <n v="446.86"/>
    <n v="4"/>
    <n v="179.42"/>
  </r>
  <r>
    <n v="106"/>
    <d v="2020-08-07T00:00:00"/>
    <x v="3"/>
    <x v="8"/>
    <d v="2020-08-13T00:00:00"/>
    <n v="6"/>
    <x v="3"/>
    <s v="Customer 173"/>
    <x v="0"/>
    <s v="India"/>
    <s v="Bangalore"/>
    <s v="Karnataka"/>
    <x v="1"/>
    <x v="1"/>
    <x v="3"/>
    <s v="Product A"/>
    <n v="197.96"/>
    <n v="6"/>
    <n v="55.94"/>
  </r>
  <r>
    <n v="107"/>
    <d v="2021-05-08T00:00:00"/>
    <x v="4"/>
    <x v="0"/>
    <d v="2021-05-14T00:00:00"/>
    <n v="6"/>
    <x v="0"/>
    <s v="Customer 253"/>
    <x v="1"/>
    <s v="USA"/>
    <s v="New York"/>
    <s v="New York"/>
    <x v="0"/>
    <x v="0"/>
    <x v="0"/>
    <s v="Product A"/>
    <n v="261.55"/>
    <n v="2"/>
    <n v="35.880000000000003"/>
  </r>
  <r>
    <n v="108"/>
    <d v="2023-02-26T00:00:00"/>
    <x v="5"/>
    <x v="9"/>
    <d v="2023-03-04T00:00:00"/>
    <n v="6"/>
    <x v="2"/>
    <s v="Customer 122"/>
    <x v="0"/>
    <s v="USA"/>
    <s v="Los Angeles"/>
    <s v="California"/>
    <x v="2"/>
    <x v="0"/>
    <x v="1"/>
    <s v="Product D"/>
    <n v="230.12"/>
    <n v="2"/>
    <n v="87.21"/>
  </r>
  <r>
    <n v="109"/>
    <d v="2023-03-29T00:00:00"/>
    <x v="5"/>
    <x v="5"/>
    <d v="2023-03-30T00:00:00"/>
    <n v="1"/>
    <x v="2"/>
    <s v="Customer 195"/>
    <x v="2"/>
    <s v="Canada"/>
    <s v="Montreal"/>
    <s v="Quebec"/>
    <x v="0"/>
    <x v="1"/>
    <x v="2"/>
    <s v="Product A"/>
    <n v="276.86"/>
    <n v="9"/>
    <n v="-53.35"/>
  </r>
  <r>
    <n v="110"/>
    <d v="2023-11-02T00:00:00"/>
    <x v="5"/>
    <x v="11"/>
    <d v="2023-11-07T00:00:00"/>
    <n v="5"/>
    <x v="0"/>
    <s v="Customer 85"/>
    <x v="1"/>
    <s v="USA"/>
    <s v="Chicago"/>
    <s v="Illinois"/>
    <x v="3"/>
    <x v="1"/>
    <x v="2"/>
    <s v="Product D"/>
    <n v="69.97"/>
    <n v="1"/>
    <n v="32.83"/>
  </r>
  <r>
    <n v="111"/>
    <d v="2022-01-16T00:00:00"/>
    <x v="2"/>
    <x v="4"/>
    <d v="2022-01-21T00:00:00"/>
    <n v="5"/>
    <x v="2"/>
    <s v="Customer 268"/>
    <x v="1"/>
    <s v="Canada"/>
    <s v="Montreal"/>
    <s v="Quebec"/>
    <x v="0"/>
    <x v="1"/>
    <x v="2"/>
    <s v="Product C"/>
    <n v="489.99"/>
    <n v="7"/>
    <n v="122.56"/>
  </r>
  <r>
    <n v="112"/>
    <d v="2025-10-29T00:00:00"/>
    <x v="0"/>
    <x v="3"/>
    <d v="2025-10-30T00:00:00"/>
    <n v="1"/>
    <x v="3"/>
    <s v="Customer 139"/>
    <x v="1"/>
    <s v="USA"/>
    <s v="New York"/>
    <s v="New York"/>
    <x v="0"/>
    <x v="0"/>
    <x v="1"/>
    <s v="Product B"/>
    <n v="114.09"/>
    <n v="1"/>
    <n v="-13.61"/>
  </r>
  <r>
    <n v="113"/>
    <d v="2020-07-28T00:00:00"/>
    <x v="3"/>
    <x v="1"/>
    <d v="2020-08-07T00:00:00"/>
    <n v="10"/>
    <x v="3"/>
    <s v="Customer 264"/>
    <x v="2"/>
    <s v="USA"/>
    <s v="Los Angeles"/>
    <s v="California"/>
    <x v="2"/>
    <x v="0"/>
    <x v="1"/>
    <s v="Product A"/>
    <n v="491.9"/>
    <n v="1"/>
    <n v="-107.11"/>
  </r>
  <r>
    <n v="114"/>
    <d v="2022-05-05T00:00:00"/>
    <x v="2"/>
    <x v="0"/>
    <d v="2022-05-08T00:00:00"/>
    <n v="3"/>
    <x v="0"/>
    <s v="Customer 18"/>
    <x v="2"/>
    <s v="India"/>
    <s v="Delhi"/>
    <s v="Delhi"/>
    <x v="4"/>
    <x v="1"/>
    <x v="3"/>
    <s v="Product A"/>
    <n v="359.01"/>
    <n v="4"/>
    <n v="15.82"/>
  </r>
  <r>
    <n v="115"/>
    <d v="2021-03-18T00:00:00"/>
    <x v="4"/>
    <x v="5"/>
    <d v="2021-03-28T00:00:00"/>
    <n v="10"/>
    <x v="0"/>
    <s v="Customer 246"/>
    <x v="0"/>
    <s v="USA"/>
    <s v="Chicago"/>
    <s v="Illinois"/>
    <x v="3"/>
    <x v="1"/>
    <x v="3"/>
    <s v="Product C"/>
    <n v="467.66"/>
    <n v="1"/>
    <n v="0.78"/>
  </r>
  <r>
    <n v="116"/>
    <d v="2024-04-30T00:00:00"/>
    <x v="1"/>
    <x v="7"/>
    <d v="2024-05-07T00:00:00"/>
    <n v="7"/>
    <x v="1"/>
    <s v="Customer 170"/>
    <x v="1"/>
    <s v="Canada"/>
    <s v="Toronto"/>
    <s v="Ontario"/>
    <x v="0"/>
    <x v="0"/>
    <x v="0"/>
    <s v="Product B"/>
    <n v="218.14"/>
    <n v="4"/>
    <n v="-10.75"/>
  </r>
  <r>
    <n v="117"/>
    <d v="2021-05-10T00:00:00"/>
    <x v="4"/>
    <x v="0"/>
    <d v="2021-05-16T00:00:00"/>
    <n v="6"/>
    <x v="2"/>
    <s v="Customer 134"/>
    <x v="0"/>
    <s v="USA"/>
    <s v="Chicago"/>
    <s v="Illinois"/>
    <x v="3"/>
    <x v="0"/>
    <x v="0"/>
    <s v="Product C"/>
    <n v="244"/>
    <n v="6"/>
    <n v="-71.88"/>
  </r>
  <r>
    <n v="118"/>
    <d v="2020-09-02T00:00:00"/>
    <x v="3"/>
    <x v="6"/>
    <d v="2020-09-07T00:00:00"/>
    <n v="5"/>
    <x v="2"/>
    <s v="Customer 292"/>
    <x v="1"/>
    <s v="India"/>
    <s v="Bangalore"/>
    <s v="Karnataka"/>
    <x v="1"/>
    <x v="0"/>
    <x v="1"/>
    <s v="Product B"/>
    <n v="228.84"/>
    <n v="10"/>
    <n v="37.200000000000003"/>
  </r>
  <r>
    <n v="119"/>
    <d v="2020-07-11T00:00:00"/>
    <x v="3"/>
    <x v="1"/>
    <d v="2020-07-13T00:00:00"/>
    <n v="2"/>
    <x v="3"/>
    <s v="Customer 72"/>
    <x v="0"/>
    <s v="India"/>
    <s v="Bangalore"/>
    <s v="Karnataka"/>
    <x v="1"/>
    <x v="2"/>
    <x v="5"/>
    <s v="Product C"/>
    <n v="449.8"/>
    <n v="9"/>
    <n v="-88.44"/>
  </r>
  <r>
    <n v="120"/>
    <d v="2023-07-15T00:00:00"/>
    <x v="5"/>
    <x v="1"/>
    <d v="2023-07-20T00:00:00"/>
    <n v="5"/>
    <x v="0"/>
    <s v="Customer 103"/>
    <x v="0"/>
    <s v="Canada"/>
    <s v="Vancouver"/>
    <s v="British Columbia"/>
    <x v="2"/>
    <x v="2"/>
    <x v="4"/>
    <s v="Product A"/>
    <n v="443.52"/>
    <n v="3"/>
    <n v="130.44"/>
  </r>
  <r>
    <n v="121"/>
    <d v="2020-10-11T00:00:00"/>
    <x v="3"/>
    <x v="3"/>
    <d v="2020-10-13T00:00:00"/>
    <n v="2"/>
    <x v="1"/>
    <s v="Customer 234"/>
    <x v="0"/>
    <s v="USA"/>
    <s v="New York"/>
    <s v="New York"/>
    <x v="0"/>
    <x v="2"/>
    <x v="4"/>
    <s v="Product B"/>
    <n v="278.83999999999997"/>
    <n v="8"/>
    <n v="47.27"/>
  </r>
  <r>
    <n v="122"/>
    <d v="2022-06-13T00:00:00"/>
    <x v="2"/>
    <x v="2"/>
    <d v="2022-06-16T00:00:00"/>
    <n v="3"/>
    <x v="3"/>
    <s v="Customer 44"/>
    <x v="1"/>
    <s v="India"/>
    <s v="Mumbai"/>
    <s v="Maharashtra"/>
    <x v="2"/>
    <x v="1"/>
    <x v="3"/>
    <s v="Product A"/>
    <n v="418.2"/>
    <n v="7"/>
    <n v="-9.6199999999999992"/>
  </r>
  <r>
    <n v="123"/>
    <d v="2022-06-06T00:00:00"/>
    <x v="2"/>
    <x v="2"/>
    <d v="2022-06-09T00:00:00"/>
    <n v="3"/>
    <x v="1"/>
    <s v="Customer 52"/>
    <x v="1"/>
    <s v="Canada"/>
    <s v="Montreal"/>
    <s v="Quebec"/>
    <x v="0"/>
    <x v="0"/>
    <x v="1"/>
    <s v="Product A"/>
    <n v="386.57"/>
    <n v="2"/>
    <n v="26.53"/>
  </r>
  <r>
    <n v="124"/>
    <d v="2021-04-30T00:00:00"/>
    <x v="4"/>
    <x v="7"/>
    <d v="2021-05-05T00:00:00"/>
    <n v="5"/>
    <x v="0"/>
    <s v="Customer 194"/>
    <x v="1"/>
    <s v="India"/>
    <s v="Bangalore"/>
    <s v="Karnataka"/>
    <x v="1"/>
    <x v="0"/>
    <x v="1"/>
    <s v="Product C"/>
    <n v="320.79000000000002"/>
    <n v="8"/>
    <n v="149.51"/>
  </r>
  <r>
    <n v="125"/>
    <d v="2022-03-20T00:00:00"/>
    <x v="2"/>
    <x v="5"/>
    <d v="2022-03-26T00:00:00"/>
    <n v="6"/>
    <x v="0"/>
    <s v="Customer 103"/>
    <x v="2"/>
    <s v="Canada"/>
    <s v="Montreal"/>
    <s v="Quebec"/>
    <x v="0"/>
    <x v="1"/>
    <x v="2"/>
    <s v="Product B"/>
    <n v="287.27"/>
    <n v="4"/>
    <n v="7.8"/>
  </r>
  <r>
    <n v="126"/>
    <d v="2023-03-24T00:00:00"/>
    <x v="5"/>
    <x v="5"/>
    <d v="2023-04-03T00:00:00"/>
    <n v="10"/>
    <x v="0"/>
    <s v="Customer 172"/>
    <x v="2"/>
    <s v="Canada"/>
    <s v="Toronto"/>
    <s v="Ontario"/>
    <x v="0"/>
    <x v="2"/>
    <x v="5"/>
    <s v="Product A"/>
    <n v="300.89"/>
    <n v="3"/>
    <n v="-38.54"/>
  </r>
  <r>
    <n v="127"/>
    <d v="2020-12-09T00:00:00"/>
    <x v="3"/>
    <x v="10"/>
    <d v="2020-12-14T00:00:00"/>
    <n v="5"/>
    <x v="1"/>
    <s v="Customer 117"/>
    <x v="0"/>
    <s v="Canada"/>
    <s v="Montreal"/>
    <s v="Quebec"/>
    <x v="0"/>
    <x v="0"/>
    <x v="0"/>
    <s v="Product C"/>
    <n v="118.24"/>
    <n v="9"/>
    <n v="-22.43"/>
  </r>
  <r>
    <n v="128"/>
    <d v="2020-11-06T00:00:00"/>
    <x v="3"/>
    <x v="11"/>
    <d v="2020-11-16T00:00:00"/>
    <n v="10"/>
    <x v="1"/>
    <s v="Customer 141"/>
    <x v="1"/>
    <s v="USA"/>
    <s v="New York"/>
    <s v="New York"/>
    <x v="0"/>
    <x v="1"/>
    <x v="2"/>
    <s v="Product D"/>
    <n v="278.01"/>
    <n v="10"/>
    <n v="18.739999999999998"/>
  </r>
  <r>
    <n v="129"/>
    <d v="2022-08-23T00:00:00"/>
    <x v="2"/>
    <x v="8"/>
    <d v="2022-08-29T00:00:00"/>
    <n v="6"/>
    <x v="3"/>
    <s v="Customer 44"/>
    <x v="0"/>
    <s v="India"/>
    <s v="Delhi"/>
    <s v="Delhi"/>
    <x v="4"/>
    <x v="2"/>
    <x v="4"/>
    <s v="Product A"/>
    <n v="20.34"/>
    <n v="2"/>
    <n v="2"/>
  </r>
  <r>
    <n v="130"/>
    <d v="2023-02-19T00:00:00"/>
    <x v="5"/>
    <x v="9"/>
    <d v="2023-02-23T00:00:00"/>
    <n v="4"/>
    <x v="3"/>
    <s v="Customer 285"/>
    <x v="2"/>
    <s v="India"/>
    <s v="Mumbai"/>
    <s v="Maharashtra"/>
    <x v="2"/>
    <x v="0"/>
    <x v="1"/>
    <s v="Product A"/>
    <n v="402.64"/>
    <n v="2"/>
    <n v="79.540000000000006"/>
  </r>
  <r>
    <n v="131"/>
    <d v="2022-03-13T00:00:00"/>
    <x v="2"/>
    <x v="5"/>
    <d v="2022-03-23T00:00:00"/>
    <n v="10"/>
    <x v="2"/>
    <s v="Customer 198"/>
    <x v="1"/>
    <s v="India"/>
    <s v="Delhi"/>
    <s v="Delhi"/>
    <x v="4"/>
    <x v="1"/>
    <x v="2"/>
    <s v="Product B"/>
    <n v="285.89"/>
    <n v="6"/>
    <n v="-59.7"/>
  </r>
  <r>
    <n v="132"/>
    <d v="2025-06-21T00:00:00"/>
    <x v="0"/>
    <x v="2"/>
    <d v="2025-06-24T00:00:00"/>
    <n v="3"/>
    <x v="2"/>
    <s v="Customer 163"/>
    <x v="0"/>
    <s v="USA"/>
    <s v="Chicago"/>
    <s v="Illinois"/>
    <x v="3"/>
    <x v="1"/>
    <x v="3"/>
    <s v="Product D"/>
    <n v="249.6"/>
    <n v="5"/>
    <n v="42.95"/>
  </r>
  <r>
    <n v="133"/>
    <d v="2023-01-09T00:00:00"/>
    <x v="5"/>
    <x v="4"/>
    <d v="2023-01-19T00:00:00"/>
    <n v="10"/>
    <x v="3"/>
    <s v="Customer 180"/>
    <x v="1"/>
    <s v="India"/>
    <s v="Delhi"/>
    <s v="Delhi"/>
    <x v="4"/>
    <x v="1"/>
    <x v="3"/>
    <s v="Product C"/>
    <n v="52.69"/>
    <n v="7"/>
    <n v="14.46"/>
  </r>
  <r>
    <n v="134"/>
    <d v="2022-03-30T00:00:00"/>
    <x v="2"/>
    <x v="5"/>
    <d v="2022-04-07T00:00:00"/>
    <n v="8"/>
    <x v="3"/>
    <s v="Customer 185"/>
    <x v="1"/>
    <s v="India"/>
    <s v="Bangalore"/>
    <s v="Karnataka"/>
    <x v="1"/>
    <x v="1"/>
    <x v="2"/>
    <s v="Product C"/>
    <n v="356.32"/>
    <n v="8"/>
    <n v="-98.85"/>
  </r>
  <r>
    <n v="135"/>
    <d v="2025-03-23T00:00:00"/>
    <x v="0"/>
    <x v="5"/>
    <d v="2025-03-26T00:00:00"/>
    <n v="3"/>
    <x v="0"/>
    <s v="Customer 1"/>
    <x v="1"/>
    <s v="India"/>
    <s v="Bangalore"/>
    <s v="Karnataka"/>
    <x v="1"/>
    <x v="1"/>
    <x v="3"/>
    <s v="Product B"/>
    <n v="421.17"/>
    <n v="5"/>
    <n v="15.63"/>
  </r>
  <r>
    <n v="136"/>
    <d v="2020-05-22T00:00:00"/>
    <x v="3"/>
    <x v="0"/>
    <d v="2020-05-26T00:00:00"/>
    <n v="4"/>
    <x v="2"/>
    <s v="Customer 122"/>
    <x v="1"/>
    <s v="India"/>
    <s v="Bangalore"/>
    <s v="Karnataka"/>
    <x v="1"/>
    <x v="2"/>
    <x v="5"/>
    <s v="Product C"/>
    <n v="70.209999999999994"/>
    <n v="3"/>
    <n v="-12.32"/>
  </r>
  <r>
    <n v="137"/>
    <d v="2024-08-19T00:00:00"/>
    <x v="1"/>
    <x v="8"/>
    <d v="2024-08-28T00:00:00"/>
    <n v="9"/>
    <x v="0"/>
    <s v="Customer 56"/>
    <x v="2"/>
    <s v="USA"/>
    <s v="New York"/>
    <s v="New York"/>
    <x v="0"/>
    <x v="2"/>
    <x v="5"/>
    <s v="Product A"/>
    <n v="250.81"/>
    <n v="10"/>
    <n v="69.12"/>
  </r>
  <r>
    <n v="138"/>
    <d v="2024-08-13T00:00:00"/>
    <x v="1"/>
    <x v="8"/>
    <d v="2024-08-18T00:00:00"/>
    <n v="5"/>
    <x v="1"/>
    <s v="Customer 55"/>
    <x v="1"/>
    <s v="Canada"/>
    <s v="Vancouver"/>
    <s v="British Columbia"/>
    <x v="2"/>
    <x v="1"/>
    <x v="2"/>
    <s v="Product D"/>
    <n v="192.83"/>
    <n v="4"/>
    <n v="-50.02"/>
  </r>
  <r>
    <n v="139"/>
    <d v="2020-03-17T00:00:00"/>
    <x v="3"/>
    <x v="5"/>
    <d v="2020-03-24T00:00:00"/>
    <n v="7"/>
    <x v="1"/>
    <s v="Customer 274"/>
    <x v="2"/>
    <s v="USA"/>
    <s v="Los Angeles"/>
    <s v="California"/>
    <x v="2"/>
    <x v="0"/>
    <x v="1"/>
    <s v="Product B"/>
    <n v="336.98"/>
    <n v="2"/>
    <n v="-98.62"/>
  </r>
  <r>
    <n v="140"/>
    <d v="2022-11-20T00:00:00"/>
    <x v="2"/>
    <x v="11"/>
    <d v="2022-11-29T00:00:00"/>
    <n v="9"/>
    <x v="3"/>
    <s v="Customer 231"/>
    <x v="0"/>
    <s v="USA"/>
    <s v="New York"/>
    <s v="New York"/>
    <x v="0"/>
    <x v="0"/>
    <x v="1"/>
    <s v="Product D"/>
    <n v="445.81"/>
    <n v="2"/>
    <n v="-49.12"/>
  </r>
  <r>
    <n v="141"/>
    <d v="2022-03-04T00:00:00"/>
    <x v="2"/>
    <x v="5"/>
    <d v="2022-03-07T00:00:00"/>
    <n v="3"/>
    <x v="2"/>
    <s v="Customer 129"/>
    <x v="1"/>
    <s v="USA"/>
    <s v="Los Angeles"/>
    <s v="California"/>
    <x v="2"/>
    <x v="0"/>
    <x v="0"/>
    <s v="Product C"/>
    <n v="286.73"/>
    <n v="4"/>
    <n v="-41"/>
  </r>
  <r>
    <n v="142"/>
    <d v="2022-03-16T00:00:00"/>
    <x v="2"/>
    <x v="5"/>
    <d v="2022-03-22T00:00:00"/>
    <n v="6"/>
    <x v="2"/>
    <s v="Customer 56"/>
    <x v="1"/>
    <s v="USA"/>
    <s v="New York"/>
    <s v="New York"/>
    <x v="0"/>
    <x v="2"/>
    <x v="5"/>
    <s v="Product D"/>
    <n v="46.93"/>
    <n v="4"/>
    <n v="-3.2"/>
  </r>
  <r>
    <n v="143"/>
    <d v="2021-05-31T00:00:00"/>
    <x v="4"/>
    <x v="0"/>
    <d v="2021-06-07T00:00:00"/>
    <n v="7"/>
    <x v="0"/>
    <s v="Customer 104"/>
    <x v="1"/>
    <s v="India"/>
    <s v="Bangalore"/>
    <s v="Karnataka"/>
    <x v="1"/>
    <x v="0"/>
    <x v="1"/>
    <s v="Product D"/>
    <n v="379.05"/>
    <n v="9"/>
    <n v="17.18"/>
  </r>
  <r>
    <n v="144"/>
    <d v="2022-11-14T00:00:00"/>
    <x v="2"/>
    <x v="11"/>
    <d v="2022-11-16T00:00:00"/>
    <n v="2"/>
    <x v="2"/>
    <s v="Customer 123"/>
    <x v="2"/>
    <s v="Canada"/>
    <s v="Toronto"/>
    <s v="Ontario"/>
    <x v="0"/>
    <x v="0"/>
    <x v="0"/>
    <s v="Product D"/>
    <n v="338.82"/>
    <n v="9"/>
    <n v="-20.93"/>
  </r>
  <r>
    <n v="145"/>
    <d v="2025-03-25T00:00:00"/>
    <x v="0"/>
    <x v="5"/>
    <d v="2025-04-01T00:00:00"/>
    <n v="7"/>
    <x v="0"/>
    <s v="Customer 241"/>
    <x v="0"/>
    <s v="Canada"/>
    <s v="Montreal"/>
    <s v="Quebec"/>
    <x v="0"/>
    <x v="0"/>
    <x v="0"/>
    <s v="Product C"/>
    <n v="470.1"/>
    <n v="9"/>
    <n v="18.68"/>
  </r>
  <r>
    <n v="146"/>
    <d v="2025-09-12T00:00:00"/>
    <x v="0"/>
    <x v="6"/>
    <d v="2025-09-13T00:00:00"/>
    <n v="1"/>
    <x v="1"/>
    <s v="Customer 178"/>
    <x v="2"/>
    <s v="Canada"/>
    <s v="Toronto"/>
    <s v="Ontario"/>
    <x v="0"/>
    <x v="2"/>
    <x v="5"/>
    <s v="Product D"/>
    <n v="97.48"/>
    <n v="8"/>
    <n v="37.96"/>
  </r>
  <r>
    <n v="147"/>
    <d v="2020-06-01T00:00:00"/>
    <x v="3"/>
    <x v="2"/>
    <d v="2020-06-11T00:00:00"/>
    <n v="10"/>
    <x v="1"/>
    <s v="Customer 35"/>
    <x v="2"/>
    <s v="India"/>
    <s v="Delhi"/>
    <s v="Delhi"/>
    <x v="4"/>
    <x v="0"/>
    <x v="0"/>
    <s v="Product D"/>
    <n v="351.96"/>
    <n v="1"/>
    <n v="-31.43"/>
  </r>
  <r>
    <n v="148"/>
    <d v="2023-03-14T00:00:00"/>
    <x v="5"/>
    <x v="5"/>
    <d v="2023-03-22T00:00:00"/>
    <n v="8"/>
    <x v="3"/>
    <s v="Customer 48"/>
    <x v="1"/>
    <s v="USA"/>
    <s v="New York"/>
    <s v="New York"/>
    <x v="0"/>
    <x v="0"/>
    <x v="1"/>
    <s v="Product A"/>
    <n v="381.52"/>
    <n v="8"/>
    <n v="153.12"/>
  </r>
  <r>
    <n v="149"/>
    <d v="2025-12-14T00:00:00"/>
    <x v="0"/>
    <x v="10"/>
    <d v="2025-12-18T00:00:00"/>
    <n v="4"/>
    <x v="3"/>
    <s v="Customer 122"/>
    <x v="0"/>
    <s v="India"/>
    <s v="Mumbai"/>
    <s v="Maharashtra"/>
    <x v="2"/>
    <x v="0"/>
    <x v="0"/>
    <s v="Product D"/>
    <n v="104.44"/>
    <n v="8"/>
    <n v="-22.76"/>
  </r>
  <r>
    <n v="150"/>
    <d v="2020-06-13T00:00:00"/>
    <x v="3"/>
    <x v="2"/>
    <d v="2020-06-18T00:00:00"/>
    <n v="5"/>
    <x v="1"/>
    <s v="Customer 98"/>
    <x v="1"/>
    <s v="USA"/>
    <s v="Chicago"/>
    <s v="Illinois"/>
    <x v="3"/>
    <x v="2"/>
    <x v="5"/>
    <s v="Product B"/>
    <n v="189.59"/>
    <n v="8"/>
    <n v="-40.46"/>
  </r>
  <r>
    <n v="151"/>
    <d v="2020-10-28T00:00:00"/>
    <x v="3"/>
    <x v="3"/>
    <d v="2020-11-01T00:00:00"/>
    <n v="4"/>
    <x v="1"/>
    <s v="Customer 56"/>
    <x v="0"/>
    <s v="USA"/>
    <s v="Chicago"/>
    <s v="Illinois"/>
    <x v="3"/>
    <x v="1"/>
    <x v="2"/>
    <s v="Product B"/>
    <n v="418.98"/>
    <n v="6"/>
    <n v="-94.78"/>
  </r>
  <r>
    <n v="152"/>
    <d v="2025-08-09T00:00:00"/>
    <x v="0"/>
    <x v="8"/>
    <d v="2025-08-17T00:00:00"/>
    <n v="8"/>
    <x v="1"/>
    <s v="Customer 23"/>
    <x v="2"/>
    <s v="USA"/>
    <s v="Los Angeles"/>
    <s v="California"/>
    <x v="2"/>
    <x v="2"/>
    <x v="5"/>
    <s v="Product C"/>
    <n v="62.02"/>
    <n v="8"/>
    <n v="18.100000000000001"/>
  </r>
  <r>
    <n v="153"/>
    <d v="2020-06-28T00:00:00"/>
    <x v="3"/>
    <x v="2"/>
    <d v="2020-06-29T00:00:00"/>
    <n v="1"/>
    <x v="3"/>
    <s v="Customer 176"/>
    <x v="1"/>
    <s v="India"/>
    <s v="Bangalore"/>
    <s v="Karnataka"/>
    <x v="1"/>
    <x v="1"/>
    <x v="3"/>
    <s v="Product C"/>
    <n v="119.62"/>
    <n v="5"/>
    <n v="-30.79"/>
  </r>
  <r>
    <n v="154"/>
    <d v="2024-10-04T00:00:00"/>
    <x v="1"/>
    <x v="3"/>
    <d v="2024-10-09T00:00:00"/>
    <n v="5"/>
    <x v="3"/>
    <s v="Customer 86"/>
    <x v="0"/>
    <s v="Canada"/>
    <s v="Montreal"/>
    <s v="Quebec"/>
    <x v="0"/>
    <x v="2"/>
    <x v="5"/>
    <s v="Product C"/>
    <n v="271.17"/>
    <n v="2"/>
    <n v="13.8"/>
  </r>
  <r>
    <n v="155"/>
    <d v="2020-03-12T00:00:00"/>
    <x v="3"/>
    <x v="5"/>
    <d v="2020-03-18T00:00:00"/>
    <n v="6"/>
    <x v="2"/>
    <s v="Customer 215"/>
    <x v="0"/>
    <s v="Canada"/>
    <s v="Vancouver"/>
    <s v="British Columbia"/>
    <x v="2"/>
    <x v="0"/>
    <x v="1"/>
    <s v="Product A"/>
    <n v="448.42"/>
    <n v="3"/>
    <n v="-19.18"/>
  </r>
  <r>
    <n v="156"/>
    <d v="2020-05-03T00:00:00"/>
    <x v="3"/>
    <x v="0"/>
    <d v="2020-05-08T00:00:00"/>
    <n v="5"/>
    <x v="1"/>
    <s v="Customer 70"/>
    <x v="0"/>
    <s v="India"/>
    <s v="Delhi"/>
    <s v="Delhi"/>
    <x v="4"/>
    <x v="1"/>
    <x v="2"/>
    <s v="Product C"/>
    <n v="211.03"/>
    <n v="7"/>
    <n v="94.75"/>
  </r>
  <r>
    <n v="157"/>
    <d v="2023-02-19T00:00:00"/>
    <x v="5"/>
    <x v="9"/>
    <d v="2023-02-25T00:00:00"/>
    <n v="6"/>
    <x v="1"/>
    <s v="Customer 288"/>
    <x v="1"/>
    <s v="Canada"/>
    <s v="Montreal"/>
    <s v="Quebec"/>
    <x v="0"/>
    <x v="0"/>
    <x v="1"/>
    <s v="Product C"/>
    <n v="255.42"/>
    <n v="10"/>
    <n v="113.51"/>
  </r>
  <r>
    <n v="158"/>
    <d v="2023-11-01T00:00:00"/>
    <x v="5"/>
    <x v="11"/>
    <d v="2023-11-07T00:00:00"/>
    <n v="6"/>
    <x v="2"/>
    <s v="Customer 219"/>
    <x v="1"/>
    <s v="Canada"/>
    <s v="Montreal"/>
    <s v="Quebec"/>
    <x v="0"/>
    <x v="2"/>
    <x v="5"/>
    <s v="Product A"/>
    <n v="169.4"/>
    <n v="1"/>
    <n v="63.97"/>
  </r>
  <r>
    <n v="159"/>
    <d v="2022-04-04T00:00:00"/>
    <x v="2"/>
    <x v="7"/>
    <d v="2022-04-14T00:00:00"/>
    <n v="10"/>
    <x v="1"/>
    <s v="Customer 29"/>
    <x v="2"/>
    <s v="Canada"/>
    <s v="Montreal"/>
    <s v="Quebec"/>
    <x v="0"/>
    <x v="0"/>
    <x v="0"/>
    <s v="Product B"/>
    <n v="38.6"/>
    <n v="5"/>
    <n v="16.77"/>
  </r>
  <r>
    <n v="160"/>
    <d v="2020-09-17T00:00:00"/>
    <x v="3"/>
    <x v="6"/>
    <d v="2020-09-26T00:00:00"/>
    <n v="9"/>
    <x v="0"/>
    <s v="Customer 64"/>
    <x v="0"/>
    <s v="USA"/>
    <s v="Los Angeles"/>
    <s v="California"/>
    <x v="2"/>
    <x v="2"/>
    <x v="5"/>
    <s v="Product A"/>
    <n v="201.43"/>
    <n v="1"/>
    <n v="-14.7"/>
  </r>
  <r>
    <n v="161"/>
    <d v="2025-11-07T00:00:00"/>
    <x v="0"/>
    <x v="11"/>
    <d v="2025-11-08T00:00:00"/>
    <n v="1"/>
    <x v="1"/>
    <s v="Customer 283"/>
    <x v="0"/>
    <s v="Canada"/>
    <s v="Montreal"/>
    <s v="Quebec"/>
    <x v="0"/>
    <x v="2"/>
    <x v="5"/>
    <s v="Product C"/>
    <n v="189.21"/>
    <n v="1"/>
    <n v="-3.69"/>
  </r>
  <r>
    <n v="162"/>
    <d v="2021-08-27T00:00:00"/>
    <x v="4"/>
    <x v="8"/>
    <d v="2021-08-31T00:00:00"/>
    <n v="4"/>
    <x v="1"/>
    <s v="Customer 49"/>
    <x v="2"/>
    <s v="India"/>
    <s v="Bangalore"/>
    <s v="Karnataka"/>
    <x v="1"/>
    <x v="2"/>
    <x v="5"/>
    <s v="Product C"/>
    <n v="253.66"/>
    <n v="6"/>
    <n v="-53.76"/>
  </r>
  <r>
    <n v="163"/>
    <d v="2024-07-16T00:00:00"/>
    <x v="1"/>
    <x v="1"/>
    <d v="2024-07-17T00:00:00"/>
    <n v="1"/>
    <x v="0"/>
    <s v="Customer 28"/>
    <x v="1"/>
    <s v="India"/>
    <s v="Delhi"/>
    <s v="Delhi"/>
    <x v="4"/>
    <x v="2"/>
    <x v="5"/>
    <s v="Product B"/>
    <n v="51.67"/>
    <n v="6"/>
    <n v="10.130000000000001"/>
  </r>
  <r>
    <n v="164"/>
    <d v="2020-10-05T00:00:00"/>
    <x v="3"/>
    <x v="3"/>
    <d v="2020-10-10T00:00:00"/>
    <n v="5"/>
    <x v="3"/>
    <s v="Customer 260"/>
    <x v="2"/>
    <s v="USA"/>
    <s v="Los Angeles"/>
    <s v="California"/>
    <x v="2"/>
    <x v="1"/>
    <x v="3"/>
    <s v="Product A"/>
    <n v="397.82"/>
    <n v="8"/>
    <n v="13.39"/>
  </r>
  <r>
    <n v="165"/>
    <d v="2021-06-20T00:00:00"/>
    <x v="4"/>
    <x v="2"/>
    <d v="2021-06-29T00:00:00"/>
    <n v="9"/>
    <x v="1"/>
    <s v="Customer 205"/>
    <x v="0"/>
    <s v="Canada"/>
    <s v="Toronto"/>
    <s v="Ontario"/>
    <x v="0"/>
    <x v="0"/>
    <x v="0"/>
    <s v="Product A"/>
    <n v="397.65"/>
    <n v="3"/>
    <n v="152.09"/>
  </r>
  <r>
    <n v="166"/>
    <d v="2021-05-08T00:00:00"/>
    <x v="4"/>
    <x v="0"/>
    <d v="2021-05-11T00:00:00"/>
    <n v="3"/>
    <x v="3"/>
    <s v="Customer 5"/>
    <x v="1"/>
    <s v="USA"/>
    <s v="Los Angeles"/>
    <s v="California"/>
    <x v="2"/>
    <x v="1"/>
    <x v="2"/>
    <s v="Product A"/>
    <n v="462.32"/>
    <n v="8"/>
    <n v="71.19"/>
  </r>
  <r>
    <n v="167"/>
    <d v="2021-01-28T00:00:00"/>
    <x v="4"/>
    <x v="4"/>
    <d v="2021-01-30T00:00:00"/>
    <n v="2"/>
    <x v="2"/>
    <s v="Customer 300"/>
    <x v="2"/>
    <s v="USA"/>
    <s v="New York"/>
    <s v="New York"/>
    <x v="0"/>
    <x v="0"/>
    <x v="0"/>
    <s v="Product D"/>
    <n v="163.49"/>
    <n v="1"/>
    <n v="11.57"/>
  </r>
  <r>
    <n v="168"/>
    <d v="2024-07-03T00:00:00"/>
    <x v="1"/>
    <x v="1"/>
    <d v="2024-07-04T00:00:00"/>
    <n v="1"/>
    <x v="3"/>
    <s v="Customer 252"/>
    <x v="1"/>
    <s v="USA"/>
    <s v="Los Angeles"/>
    <s v="California"/>
    <x v="2"/>
    <x v="0"/>
    <x v="1"/>
    <s v="Product C"/>
    <n v="55.29"/>
    <n v="4"/>
    <n v="24.2"/>
  </r>
  <r>
    <n v="169"/>
    <d v="2024-10-06T00:00:00"/>
    <x v="1"/>
    <x v="3"/>
    <d v="2024-10-08T00:00:00"/>
    <n v="2"/>
    <x v="0"/>
    <s v="Customer 186"/>
    <x v="0"/>
    <s v="India"/>
    <s v="Mumbai"/>
    <s v="Maharashtra"/>
    <x v="2"/>
    <x v="1"/>
    <x v="3"/>
    <s v="Product B"/>
    <n v="97.21"/>
    <n v="1"/>
    <n v="-20.98"/>
  </r>
  <r>
    <n v="170"/>
    <d v="2023-12-19T00:00:00"/>
    <x v="5"/>
    <x v="10"/>
    <d v="2023-12-26T00:00:00"/>
    <n v="7"/>
    <x v="0"/>
    <s v="Customer 173"/>
    <x v="2"/>
    <s v="India"/>
    <s v="Mumbai"/>
    <s v="Maharashtra"/>
    <x v="2"/>
    <x v="0"/>
    <x v="0"/>
    <s v="Product D"/>
    <n v="494.02"/>
    <n v="6"/>
    <n v="245.98"/>
  </r>
  <r>
    <n v="171"/>
    <d v="2021-06-15T00:00:00"/>
    <x v="4"/>
    <x v="2"/>
    <d v="2021-06-16T00:00:00"/>
    <n v="1"/>
    <x v="2"/>
    <s v="Customer 60"/>
    <x v="1"/>
    <s v="Canada"/>
    <s v="Montreal"/>
    <s v="Quebec"/>
    <x v="0"/>
    <x v="0"/>
    <x v="1"/>
    <s v="Product B"/>
    <n v="97.11"/>
    <n v="1"/>
    <n v="-2.76"/>
  </r>
  <r>
    <n v="172"/>
    <d v="2024-03-18T00:00:00"/>
    <x v="1"/>
    <x v="5"/>
    <d v="2024-03-26T00:00:00"/>
    <n v="8"/>
    <x v="1"/>
    <s v="Customer 110"/>
    <x v="2"/>
    <s v="India"/>
    <s v="Delhi"/>
    <s v="Delhi"/>
    <x v="4"/>
    <x v="0"/>
    <x v="0"/>
    <s v="Product A"/>
    <n v="364.88"/>
    <n v="2"/>
    <n v="-47.96"/>
  </r>
  <r>
    <n v="173"/>
    <d v="2021-09-28T00:00:00"/>
    <x v="4"/>
    <x v="6"/>
    <d v="2021-10-06T00:00:00"/>
    <n v="8"/>
    <x v="1"/>
    <s v="Customer 110"/>
    <x v="0"/>
    <s v="Canada"/>
    <s v="Vancouver"/>
    <s v="British Columbia"/>
    <x v="2"/>
    <x v="2"/>
    <x v="4"/>
    <s v="Product C"/>
    <n v="414.05"/>
    <n v="2"/>
    <n v="193.61"/>
  </r>
  <r>
    <n v="174"/>
    <d v="2022-01-14T00:00:00"/>
    <x v="2"/>
    <x v="4"/>
    <d v="2022-01-17T00:00:00"/>
    <n v="3"/>
    <x v="3"/>
    <s v="Customer 152"/>
    <x v="1"/>
    <s v="India"/>
    <s v="Delhi"/>
    <s v="Delhi"/>
    <x v="4"/>
    <x v="2"/>
    <x v="4"/>
    <s v="Product C"/>
    <n v="498.54"/>
    <n v="10"/>
    <n v="146.84"/>
  </r>
  <r>
    <n v="175"/>
    <d v="2024-02-21T00:00:00"/>
    <x v="1"/>
    <x v="9"/>
    <d v="2024-02-22T00:00:00"/>
    <n v="1"/>
    <x v="1"/>
    <s v="Customer 248"/>
    <x v="1"/>
    <s v="USA"/>
    <s v="Chicago"/>
    <s v="Illinois"/>
    <x v="3"/>
    <x v="2"/>
    <x v="5"/>
    <s v="Product C"/>
    <n v="238.05"/>
    <n v="1"/>
    <n v="77.25"/>
  </r>
  <r>
    <n v="176"/>
    <d v="2024-12-09T00:00:00"/>
    <x v="1"/>
    <x v="10"/>
    <d v="2024-12-17T00:00:00"/>
    <n v="8"/>
    <x v="2"/>
    <s v="Customer 300"/>
    <x v="2"/>
    <s v="Canada"/>
    <s v="Toronto"/>
    <s v="Ontario"/>
    <x v="0"/>
    <x v="1"/>
    <x v="2"/>
    <s v="Product D"/>
    <n v="420.4"/>
    <n v="3"/>
    <n v="6.48"/>
  </r>
  <r>
    <n v="177"/>
    <d v="2021-10-29T00:00:00"/>
    <x v="4"/>
    <x v="3"/>
    <d v="2021-11-02T00:00:00"/>
    <n v="4"/>
    <x v="0"/>
    <s v="Customer 136"/>
    <x v="0"/>
    <s v="Canada"/>
    <s v="Toronto"/>
    <s v="Ontario"/>
    <x v="0"/>
    <x v="2"/>
    <x v="4"/>
    <s v="Product B"/>
    <n v="328.19"/>
    <n v="9"/>
    <n v="-67.819999999999993"/>
  </r>
  <r>
    <n v="178"/>
    <d v="2024-06-26T00:00:00"/>
    <x v="1"/>
    <x v="2"/>
    <d v="2024-06-29T00:00:00"/>
    <n v="3"/>
    <x v="2"/>
    <s v="Customer 246"/>
    <x v="2"/>
    <s v="Canada"/>
    <s v="Montreal"/>
    <s v="Quebec"/>
    <x v="0"/>
    <x v="0"/>
    <x v="1"/>
    <s v="Product D"/>
    <n v="36.549999999999997"/>
    <n v="10"/>
    <n v="7.07"/>
  </r>
  <r>
    <n v="179"/>
    <d v="2024-11-19T00:00:00"/>
    <x v="1"/>
    <x v="11"/>
    <d v="2024-11-26T00:00:00"/>
    <n v="7"/>
    <x v="3"/>
    <s v="Customer 151"/>
    <x v="2"/>
    <s v="Canada"/>
    <s v="Toronto"/>
    <s v="Ontario"/>
    <x v="0"/>
    <x v="2"/>
    <x v="5"/>
    <s v="Product C"/>
    <n v="429.01"/>
    <n v="8"/>
    <n v="-28.19"/>
  </r>
  <r>
    <n v="180"/>
    <d v="2021-11-28T00:00:00"/>
    <x v="4"/>
    <x v="11"/>
    <d v="2021-12-08T00:00:00"/>
    <n v="10"/>
    <x v="2"/>
    <s v="Customer 35"/>
    <x v="0"/>
    <s v="USA"/>
    <s v="Los Angeles"/>
    <s v="California"/>
    <x v="2"/>
    <x v="2"/>
    <x v="4"/>
    <s v="Product C"/>
    <n v="174.5"/>
    <n v="1"/>
    <n v="0.57999999999999996"/>
  </r>
  <r>
    <n v="181"/>
    <d v="2024-01-14T00:00:00"/>
    <x v="1"/>
    <x v="4"/>
    <d v="2024-01-17T00:00:00"/>
    <n v="3"/>
    <x v="1"/>
    <s v="Customer 215"/>
    <x v="2"/>
    <s v="India"/>
    <s v="Bangalore"/>
    <s v="Karnataka"/>
    <x v="1"/>
    <x v="1"/>
    <x v="2"/>
    <s v="Product B"/>
    <n v="147.78"/>
    <n v="9"/>
    <n v="-23.84"/>
  </r>
  <r>
    <n v="182"/>
    <d v="2020-03-27T00:00:00"/>
    <x v="3"/>
    <x v="5"/>
    <d v="2020-03-31T00:00:00"/>
    <n v="4"/>
    <x v="1"/>
    <s v="Customer 195"/>
    <x v="2"/>
    <s v="Canada"/>
    <s v="Vancouver"/>
    <s v="British Columbia"/>
    <x v="2"/>
    <x v="2"/>
    <x v="5"/>
    <s v="Product C"/>
    <n v="144"/>
    <n v="6"/>
    <n v="11.38"/>
  </r>
  <r>
    <n v="183"/>
    <d v="2023-09-10T00:00:00"/>
    <x v="5"/>
    <x v="6"/>
    <d v="2023-09-17T00:00:00"/>
    <n v="7"/>
    <x v="1"/>
    <s v="Customer 44"/>
    <x v="2"/>
    <s v="USA"/>
    <s v="Chicago"/>
    <s v="Illinois"/>
    <x v="3"/>
    <x v="0"/>
    <x v="0"/>
    <s v="Product C"/>
    <n v="215.25"/>
    <n v="2"/>
    <n v="-54.41"/>
  </r>
  <r>
    <n v="184"/>
    <d v="2025-06-02T00:00:00"/>
    <x v="0"/>
    <x v="2"/>
    <d v="2025-06-12T00:00:00"/>
    <n v="10"/>
    <x v="2"/>
    <s v="Customer 172"/>
    <x v="1"/>
    <s v="USA"/>
    <s v="Chicago"/>
    <s v="Illinois"/>
    <x v="3"/>
    <x v="0"/>
    <x v="0"/>
    <s v="Product D"/>
    <n v="27.81"/>
    <n v="1"/>
    <n v="0.36"/>
  </r>
  <r>
    <n v="185"/>
    <d v="2024-05-30T00:00:00"/>
    <x v="1"/>
    <x v="0"/>
    <d v="2024-06-05T00:00:00"/>
    <n v="6"/>
    <x v="0"/>
    <s v="Customer 287"/>
    <x v="1"/>
    <s v="USA"/>
    <s v="Los Angeles"/>
    <s v="California"/>
    <x v="2"/>
    <x v="1"/>
    <x v="3"/>
    <s v="Product B"/>
    <n v="351.22"/>
    <n v="10"/>
    <n v="-19.260000000000002"/>
  </r>
  <r>
    <n v="186"/>
    <d v="2023-08-11T00:00:00"/>
    <x v="5"/>
    <x v="8"/>
    <d v="2023-08-18T00:00:00"/>
    <n v="7"/>
    <x v="3"/>
    <s v="Customer 111"/>
    <x v="0"/>
    <s v="USA"/>
    <s v="Los Angeles"/>
    <s v="California"/>
    <x v="2"/>
    <x v="1"/>
    <x v="3"/>
    <s v="Product B"/>
    <n v="432.62"/>
    <n v="8"/>
    <n v="127.01"/>
  </r>
  <r>
    <n v="187"/>
    <d v="2022-03-14T00:00:00"/>
    <x v="2"/>
    <x v="5"/>
    <d v="2022-03-15T00:00:00"/>
    <n v="1"/>
    <x v="3"/>
    <s v="Customer 239"/>
    <x v="0"/>
    <s v="USA"/>
    <s v="Chicago"/>
    <s v="Illinois"/>
    <x v="3"/>
    <x v="2"/>
    <x v="5"/>
    <s v="Product D"/>
    <n v="206.23"/>
    <n v="7"/>
    <n v="83.56"/>
  </r>
  <r>
    <n v="188"/>
    <d v="2022-08-26T00:00:00"/>
    <x v="2"/>
    <x v="8"/>
    <d v="2022-09-02T00:00:00"/>
    <n v="7"/>
    <x v="1"/>
    <s v="Customer 28"/>
    <x v="0"/>
    <s v="USA"/>
    <s v="New York"/>
    <s v="New York"/>
    <x v="0"/>
    <x v="2"/>
    <x v="4"/>
    <s v="Product B"/>
    <n v="385.48"/>
    <n v="4"/>
    <n v="185.34"/>
  </r>
  <r>
    <n v="189"/>
    <d v="2023-07-08T00:00:00"/>
    <x v="5"/>
    <x v="1"/>
    <d v="2023-07-16T00:00:00"/>
    <n v="8"/>
    <x v="3"/>
    <s v="Customer 62"/>
    <x v="0"/>
    <s v="Canada"/>
    <s v="Toronto"/>
    <s v="Ontario"/>
    <x v="0"/>
    <x v="2"/>
    <x v="5"/>
    <s v="Product B"/>
    <n v="393.19"/>
    <n v="6"/>
    <n v="-10.32"/>
  </r>
  <r>
    <n v="190"/>
    <d v="2022-06-13T00:00:00"/>
    <x v="2"/>
    <x v="2"/>
    <d v="2022-06-22T00:00:00"/>
    <n v="9"/>
    <x v="0"/>
    <s v="Customer 224"/>
    <x v="2"/>
    <s v="USA"/>
    <s v="Chicago"/>
    <s v="Illinois"/>
    <x v="3"/>
    <x v="1"/>
    <x v="2"/>
    <s v="Product D"/>
    <n v="402.48"/>
    <n v="10"/>
    <n v="173.32"/>
  </r>
  <r>
    <n v="191"/>
    <d v="2021-06-16T00:00:00"/>
    <x v="4"/>
    <x v="2"/>
    <d v="2021-06-17T00:00:00"/>
    <n v="1"/>
    <x v="2"/>
    <s v="Customer 196"/>
    <x v="2"/>
    <s v="USA"/>
    <s v="Los Angeles"/>
    <s v="California"/>
    <x v="2"/>
    <x v="2"/>
    <x v="5"/>
    <s v="Product D"/>
    <n v="181.17"/>
    <n v="2"/>
    <n v="-28.96"/>
  </r>
  <r>
    <n v="192"/>
    <d v="2023-09-25T00:00:00"/>
    <x v="5"/>
    <x v="6"/>
    <d v="2023-10-03T00:00:00"/>
    <n v="8"/>
    <x v="0"/>
    <s v="Customer 209"/>
    <x v="1"/>
    <s v="India"/>
    <s v="Bangalore"/>
    <s v="Karnataka"/>
    <x v="1"/>
    <x v="0"/>
    <x v="0"/>
    <s v="Product B"/>
    <n v="430"/>
    <n v="1"/>
    <n v="-124.39"/>
  </r>
  <r>
    <n v="193"/>
    <d v="2025-01-07T00:00:00"/>
    <x v="0"/>
    <x v="4"/>
    <d v="2025-01-13T00:00:00"/>
    <n v="6"/>
    <x v="3"/>
    <s v="Customer 165"/>
    <x v="2"/>
    <s v="USA"/>
    <s v="Chicago"/>
    <s v="Illinois"/>
    <x v="3"/>
    <x v="2"/>
    <x v="5"/>
    <s v="Product D"/>
    <n v="135.06"/>
    <n v="1"/>
    <n v="3.86"/>
  </r>
  <r>
    <n v="194"/>
    <d v="2021-08-08T00:00:00"/>
    <x v="4"/>
    <x v="8"/>
    <d v="2021-08-14T00:00:00"/>
    <n v="6"/>
    <x v="3"/>
    <s v="Customer 40"/>
    <x v="1"/>
    <s v="India"/>
    <s v="Bangalore"/>
    <s v="Karnataka"/>
    <x v="1"/>
    <x v="1"/>
    <x v="3"/>
    <s v="Product A"/>
    <n v="419.58"/>
    <n v="3"/>
    <n v="-85.64"/>
  </r>
  <r>
    <n v="195"/>
    <d v="2023-03-08T00:00:00"/>
    <x v="5"/>
    <x v="5"/>
    <d v="2023-03-12T00:00:00"/>
    <n v="4"/>
    <x v="1"/>
    <s v="Customer 32"/>
    <x v="0"/>
    <s v="India"/>
    <s v="Delhi"/>
    <s v="Delhi"/>
    <x v="4"/>
    <x v="2"/>
    <x v="5"/>
    <s v="Product B"/>
    <n v="479.36"/>
    <n v="8"/>
    <n v="-58.93"/>
  </r>
  <r>
    <n v="196"/>
    <d v="2020-01-30T00:00:00"/>
    <x v="3"/>
    <x v="4"/>
    <d v="2020-02-03T00:00:00"/>
    <n v="4"/>
    <x v="0"/>
    <s v="Customer 95"/>
    <x v="2"/>
    <s v="India"/>
    <s v="Bangalore"/>
    <s v="Karnataka"/>
    <x v="1"/>
    <x v="0"/>
    <x v="0"/>
    <s v="Product A"/>
    <n v="439.86"/>
    <n v="8"/>
    <n v="-11.73"/>
  </r>
  <r>
    <n v="197"/>
    <d v="2025-07-19T00:00:00"/>
    <x v="0"/>
    <x v="1"/>
    <d v="2025-07-27T00:00:00"/>
    <n v="8"/>
    <x v="2"/>
    <s v="Customer 286"/>
    <x v="1"/>
    <s v="Canada"/>
    <s v="Vancouver"/>
    <s v="British Columbia"/>
    <x v="2"/>
    <x v="2"/>
    <x v="5"/>
    <s v="Product A"/>
    <n v="315.39999999999998"/>
    <n v="3"/>
    <n v="-90.11"/>
  </r>
  <r>
    <n v="198"/>
    <d v="2022-06-09T00:00:00"/>
    <x v="2"/>
    <x v="2"/>
    <d v="2022-06-10T00:00:00"/>
    <n v="1"/>
    <x v="1"/>
    <s v="Customer 192"/>
    <x v="2"/>
    <s v="India"/>
    <s v="Mumbai"/>
    <s v="Maharashtra"/>
    <x v="2"/>
    <x v="0"/>
    <x v="0"/>
    <s v="Product C"/>
    <n v="138.26"/>
    <n v="6"/>
    <n v="61.97"/>
  </r>
  <r>
    <n v="199"/>
    <d v="2023-08-27T00:00:00"/>
    <x v="5"/>
    <x v="8"/>
    <d v="2023-09-02T00:00:00"/>
    <n v="6"/>
    <x v="3"/>
    <s v="Customer 82"/>
    <x v="0"/>
    <s v="USA"/>
    <s v="Los Angeles"/>
    <s v="California"/>
    <x v="2"/>
    <x v="2"/>
    <x v="4"/>
    <s v="Product D"/>
    <n v="314.85000000000002"/>
    <n v="7"/>
    <n v="33.85"/>
  </r>
  <r>
    <n v="200"/>
    <d v="2020-06-01T00:00:00"/>
    <x v="3"/>
    <x v="2"/>
    <d v="2020-06-09T00:00:00"/>
    <n v="8"/>
    <x v="2"/>
    <s v="Customer 268"/>
    <x v="1"/>
    <s v="USA"/>
    <s v="Chicago"/>
    <s v="Illinois"/>
    <x v="3"/>
    <x v="1"/>
    <x v="2"/>
    <s v="Product A"/>
    <n v="196.63"/>
    <n v="4"/>
    <n v="-18.899999999999999"/>
  </r>
  <r>
    <n v="201"/>
    <d v="2023-08-27T00:00:00"/>
    <x v="5"/>
    <x v="8"/>
    <d v="2023-09-01T00:00:00"/>
    <n v="5"/>
    <x v="1"/>
    <s v="Customer 232"/>
    <x v="2"/>
    <s v="Canada"/>
    <s v="Toronto"/>
    <s v="Ontario"/>
    <x v="0"/>
    <x v="0"/>
    <x v="1"/>
    <s v="Product D"/>
    <n v="224.1"/>
    <n v="2"/>
    <n v="2.21"/>
  </r>
  <r>
    <n v="202"/>
    <d v="2020-08-07T00:00:00"/>
    <x v="3"/>
    <x v="8"/>
    <d v="2020-08-09T00:00:00"/>
    <n v="2"/>
    <x v="0"/>
    <s v="Customer 124"/>
    <x v="1"/>
    <s v="India"/>
    <s v="Bangalore"/>
    <s v="Karnataka"/>
    <x v="1"/>
    <x v="1"/>
    <x v="2"/>
    <s v="Product B"/>
    <n v="477.06"/>
    <n v="2"/>
    <n v="-87.16"/>
  </r>
  <r>
    <n v="203"/>
    <d v="2023-10-24T00:00:00"/>
    <x v="5"/>
    <x v="3"/>
    <d v="2023-10-27T00:00:00"/>
    <n v="3"/>
    <x v="2"/>
    <s v="Customer 75"/>
    <x v="0"/>
    <s v="USA"/>
    <s v="Chicago"/>
    <s v="Illinois"/>
    <x v="3"/>
    <x v="1"/>
    <x v="3"/>
    <s v="Product A"/>
    <n v="445.85"/>
    <n v="4"/>
    <n v="38.130000000000003"/>
  </r>
  <r>
    <n v="204"/>
    <d v="2020-06-26T00:00:00"/>
    <x v="3"/>
    <x v="2"/>
    <d v="2020-07-05T00:00:00"/>
    <n v="9"/>
    <x v="2"/>
    <s v="Customer 243"/>
    <x v="0"/>
    <s v="India"/>
    <s v="Bangalore"/>
    <s v="Karnataka"/>
    <x v="1"/>
    <x v="2"/>
    <x v="5"/>
    <s v="Product D"/>
    <n v="164.24"/>
    <n v="7"/>
    <n v="5.35"/>
  </r>
  <r>
    <n v="205"/>
    <d v="2022-12-10T00:00:00"/>
    <x v="2"/>
    <x v="10"/>
    <d v="2022-12-12T00:00:00"/>
    <n v="2"/>
    <x v="1"/>
    <s v="Customer 117"/>
    <x v="2"/>
    <s v="USA"/>
    <s v="Chicago"/>
    <s v="Illinois"/>
    <x v="3"/>
    <x v="1"/>
    <x v="3"/>
    <s v="Product A"/>
    <n v="482.44"/>
    <n v="9"/>
    <n v="82.85"/>
  </r>
  <r>
    <n v="206"/>
    <d v="2020-11-05T00:00:00"/>
    <x v="3"/>
    <x v="11"/>
    <d v="2020-11-08T00:00:00"/>
    <n v="3"/>
    <x v="0"/>
    <s v="Customer 43"/>
    <x v="2"/>
    <s v="USA"/>
    <s v="Los Angeles"/>
    <s v="California"/>
    <x v="2"/>
    <x v="2"/>
    <x v="5"/>
    <s v="Product C"/>
    <n v="232.75"/>
    <n v="5"/>
    <n v="25.03"/>
  </r>
  <r>
    <n v="207"/>
    <d v="2020-04-14T00:00:00"/>
    <x v="3"/>
    <x v="7"/>
    <d v="2020-04-15T00:00:00"/>
    <n v="1"/>
    <x v="2"/>
    <s v="Customer 189"/>
    <x v="1"/>
    <s v="India"/>
    <s v="Bangalore"/>
    <s v="Karnataka"/>
    <x v="1"/>
    <x v="1"/>
    <x v="2"/>
    <s v="Product D"/>
    <n v="140.52000000000001"/>
    <n v="3"/>
    <n v="-4.88"/>
  </r>
  <r>
    <n v="208"/>
    <d v="2020-06-27T00:00:00"/>
    <x v="3"/>
    <x v="2"/>
    <d v="2020-07-01T00:00:00"/>
    <n v="4"/>
    <x v="3"/>
    <s v="Customer 153"/>
    <x v="1"/>
    <s v="India"/>
    <s v="Bangalore"/>
    <s v="Karnataka"/>
    <x v="1"/>
    <x v="1"/>
    <x v="3"/>
    <s v="Product B"/>
    <n v="46.57"/>
    <n v="5"/>
    <n v="21.35"/>
  </r>
  <r>
    <n v="209"/>
    <d v="2023-11-14T00:00:00"/>
    <x v="5"/>
    <x v="11"/>
    <d v="2023-11-20T00:00:00"/>
    <n v="6"/>
    <x v="3"/>
    <s v="Customer 6"/>
    <x v="2"/>
    <s v="India"/>
    <s v="Mumbai"/>
    <s v="Maharashtra"/>
    <x v="2"/>
    <x v="1"/>
    <x v="2"/>
    <s v="Product A"/>
    <n v="86.46"/>
    <n v="10"/>
    <n v="4.3"/>
  </r>
  <r>
    <n v="210"/>
    <d v="2025-02-13T00:00:00"/>
    <x v="0"/>
    <x v="9"/>
    <d v="2025-02-19T00:00:00"/>
    <n v="6"/>
    <x v="2"/>
    <s v="Customer 141"/>
    <x v="0"/>
    <s v="Canada"/>
    <s v="Montreal"/>
    <s v="Quebec"/>
    <x v="0"/>
    <x v="0"/>
    <x v="1"/>
    <s v="Product D"/>
    <n v="498.21"/>
    <n v="3"/>
    <n v="24.94"/>
  </r>
  <r>
    <n v="211"/>
    <d v="2024-09-04T00:00:00"/>
    <x v="1"/>
    <x v="6"/>
    <d v="2024-09-10T00:00:00"/>
    <n v="6"/>
    <x v="2"/>
    <s v="Customer 95"/>
    <x v="2"/>
    <s v="Canada"/>
    <s v="Montreal"/>
    <s v="Quebec"/>
    <x v="0"/>
    <x v="0"/>
    <x v="0"/>
    <s v="Product D"/>
    <n v="491.42"/>
    <n v="7"/>
    <n v="151.06"/>
  </r>
  <r>
    <n v="212"/>
    <d v="2020-07-03T00:00:00"/>
    <x v="3"/>
    <x v="1"/>
    <d v="2020-07-05T00:00:00"/>
    <n v="2"/>
    <x v="2"/>
    <s v="Customer 299"/>
    <x v="1"/>
    <s v="Canada"/>
    <s v="Montreal"/>
    <s v="Quebec"/>
    <x v="0"/>
    <x v="1"/>
    <x v="3"/>
    <s v="Product D"/>
    <n v="84.6"/>
    <n v="2"/>
    <n v="36.51"/>
  </r>
  <r>
    <n v="213"/>
    <d v="2022-12-01T00:00:00"/>
    <x v="2"/>
    <x v="10"/>
    <d v="2022-12-06T00:00:00"/>
    <n v="5"/>
    <x v="1"/>
    <s v="Customer 186"/>
    <x v="2"/>
    <s v="Canada"/>
    <s v="Vancouver"/>
    <s v="British Columbia"/>
    <x v="2"/>
    <x v="1"/>
    <x v="2"/>
    <s v="Product A"/>
    <n v="263.12"/>
    <n v="8"/>
    <n v="19.63"/>
  </r>
  <r>
    <n v="214"/>
    <d v="2020-06-16T00:00:00"/>
    <x v="3"/>
    <x v="2"/>
    <d v="2020-06-23T00:00:00"/>
    <n v="7"/>
    <x v="0"/>
    <s v="Customer 223"/>
    <x v="2"/>
    <s v="Canada"/>
    <s v="Vancouver"/>
    <s v="British Columbia"/>
    <x v="2"/>
    <x v="1"/>
    <x v="3"/>
    <s v="Product C"/>
    <n v="95.48"/>
    <n v="4"/>
    <n v="-28.42"/>
  </r>
  <r>
    <n v="215"/>
    <d v="2022-01-02T00:00:00"/>
    <x v="2"/>
    <x v="4"/>
    <d v="2022-01-07T00:00:00"/>
    <n v="5"/>
    <x v="2"/>
    <s v="Customer 61"/>
    <x v="0"/>
    <s v="Canada"/>
    <s v="Toronto"/>
    <s v="Ontario"/>
    <x v="0"/>
    <x v="2"/>
    <x v="5"/>
    <s v="Product B"/>
    <n v="253.93"/>
    <n v="7"/>
    <n v="-8.7200000000000006"/>
  </r>
  <r>
    <n v="216"/>
    <d v="2020-01-15T00:00:00"/>
    <x v="3"/>
    <x v="4"/>
    <d v="2020-01-16T00:00:00"/>
    <n v="1"/>
    <x v="3"/>
    <s v="Customer 254"/>
    <x v="0"/>
    <s v="India"/>
    <s v="Mumbai"/>
    <s v="Maharashtra"/>
    <x v="2"/>
    <x v="0"/>
    <x v="0"/>
    <s v="Product B"/>
    <n v="145.82"/>
    <n v="8"/>
    <n v="-25.86"/>
  </r>
  <r>
    <n v="217"/>
    <d v="2023-09-16T00:00:00"/>
    <x v="5"/>
    <x v="6"/>
    <d v="2023-09-21T00:00:00"/>
    <n v="5"/>
    <x v="2"/>
    <s v="Customer 232"/>
    <x v="0"/>
    <s v="India"/>
    <s v="Delhi"/>
    <s v="Delhi"/>
    <x v="4"/>
    <x v="0"/>
    <x v="1"/>
    <s v="Product B"/>
    <n v="188.91"/>
    <n v="1"/>
    <n v="85.02"/>
  </r>
  <r>
    <n v="218"/>
    <d v="2024-02-06T00:00:00"/>
    <x v="1"/>
    <x v="9"/>
    <d v="2024-02-14T00:00:00"/>
    <n v="8"/>
    <x v="2"/>
    <s v="Customer 276"/>
    <x v="1"/>
    <s v="India"/>
    <s v="Bangalore"/>
    <s v="Karnataka"/>
    <x v="1"/>
    <x v="0"/>
    <x v="0"/>
    <s v="Product B"/>
    <n v="274.25"/>
    <n v="3"/>
    <n v="90.76"/>
  </r>
  <r>
    <n v="219"/>
    <d v="2024-09-08T00:00:00"/>
    <x v="1"/>
    <x v="6"/>
    <d v="2024-09-15T00:00:00"/>
    <n v="7"/>
    <x v="2"/>
    <s v="Customer 76"/>
    <x v="0"/>
    <s v="USA"/>
    <s v="Los Angeles"/>
    <s v="California"/>
    <x v="2"/>
    <x v="1"/>
    <x v="2"/>
    <s v="Product C"/>
    <n v="36.94"/>
    <n v="8"/>
    <n v="12.79"/>
  </r>
  <r>
    <n v="220"/>
    <d v="2021-01-27T00:00:00"/>
    <x v="4"/>
    <x v="4"/>
    <d v="2021-01-28T00:00:00"/>
    <n v="1"/>
    <x v="2"/>
    <s v="Customer 102"/>
    <x v="1"/>
    <s v="USA"/>
    <s v="Chicago"/>
    <s v="Illinois"/>
    <x v="3"/>
    <x v="0"/>
    <x v="1"/>
    <s v="Product B"/>
    <n v="332.93"/>
    <n v="6"/>
    <n v="74.03"/>
  </r>
  <r>
    <n v="221"/>
    <d v="2021-11-15T00:00:00"/>
    <x v="4"/>
    <x v="11"/>
    <d v="2021-11-16T00:00:00"/>
    <n v="1"/>
    <x v="2"/>
    <s v="Customer 206"/>
    <x v="0"/>
    <s v="Canada"/>
    <s v="Toronto"/>
    <s v="Ontario"/>
    <x v="0"/>
    <x v="2"/>
    <x v="4"/>
    <s v="Product C"/>
    <n v="322.58999999999997"/>
    <n v="6"/>
    <n v="-63.9"/>
  </r>
  <r>
    <n v="222"/>
    <d v="2020-01-12T00:00:00"/>
    <x v="3"/>
    <x v="4"/>
    <d v="2020-01-13T00:00:00"/>
    <n v="1"/>
    <x v="2"/>
    <s v="Customer 129"/>
    <x v="0"/>
    <s v="USA"/>
    <s v="Los Angeles"/>
    <s v="California"/>
    <x v="2"/>
    <x v="1"/>
    <x v="2"/>
    <s v="Product D"/>
    <n v="410.22"/>
    <n v="1"/>
    <n v="-45.12"/>
  </r>
  <r>
    <n v="223"/>
    <d v="2025-04-16T00:00:00"/>
    <x v="0"/>
    <x v="7"/>
    <d v="2025-04-20T00:00:00"/>
    <n v="4"/>
    <x v="0"/>
    <s v="Customer 294"/>
    <x v="0"/>
    <s v="Canada"/>
    <s v="Toronto"/>
    <s v="Ontario"/>
    <x v="0"/>
    <x v="0"/>
    <x v="0"/>
    <s v="Product C"/>
    <n v="300.58999999999997"/>
    <n v="8"/>
    <n v="127.83"/>
  </r>
  <r>
    <n v="224"/>
    <d v="2024-09-24T00:00:00"/>
    <x v="1"/>
    <x v="6"/>
    <d v="2024-09-30T00:00:00"/>
    <n v="6"/>
    <x v="2"/>
    <s v="Customer 155"/>
    <x v="0"/>
    <s v="India"/>
    <s v="Mumbai"/>
    <s v="Maharashtra"/>
    <x v="2"/>
    <x v="0"/>
    <x v="1"/>
    <s v="Product A"/>
    <n v="247.77"/>
    <n v="8"/>
    <n v="66.91"/>
  </r>
  <r>
    <n v="225"/>
    <d v="2022-06-10T00:00:00"/>
    <x v="2"/>
    <x v="2"/>
    <d v="2022-06-16T00:00:00"/>
    <n v="6"/>
    <x v="2"/>
    <s v="Customer 49"/>
    <x v="0"/>
    <s v="USA"/>
    <s v="Chicago"/>
    <s v="Illinois"/>
    <x v="3"/>
    <x v="0"/>
    <x v="0"/>
    <s v="Product B"/>
    <n v="445.11"/>
    <n v="10"/>
    <n v="161.31"/>
  </r>
  <r>
    <n v="226"/>
    <d v="2023-08-24T00:00:00"/>
    <x v="5"/>
    <x v="8"/>
    <d v="2023-08-30T00:00:00"/>
    <n v="6"/>
    <x v="0"/>
    <s v="Customer 100"/>
    <x v="2"/>
    <s v="USA"/>
    <s v="Chicago"/>
    <s v="Illinois"/>
    <x v="3"/>
    <x v="1"/>
    <x v="3"/>
    <s v="Product B"/>
    <n v="152.66"/>
    <n v="6"/>
    <n v="58.75"/>
  </r>
  <r>
    <n v="227"/>
    <d v="2025-04-16T00:00:00"/>
    <x v="0"/>
    <x v="7"/>
    <d v="2025-04-25T00:00:00"/>
    <n v="9"/>
    <x v="2"/>
    <s v="Customer 122"/>
    <x v="1"/>
    <s v="India"/>
    <s v="Bangalore"/>
    <s v="Karnataka"/>
    <x v="1"/>
    <x v="0"/>
    <x v="0"/>
    <s v="Product A"/>
    <n v="444.2"/>
    <n v="7"/>
    <n v="-77.569999999999993"/>
  </r>
  <r>
    <n v="228"/>
    <d v="2020-06-18T00:00:00"/>
    <x v="3"/>
    <x v="2"/>
    <d v="2020-06-21T00:00:00"/>
    <n v="3"/>
    <x v="2"/>
    <s v="Customer 8"/>
    <x v="0"/>
    <s v="Canada"/>
    <s v="Montreal"/>
    <s v="Quebec"/>
    <x v="0"/>
    <x v="0"/>
    <x v="0"/>
    <s v="Product B"/>
    <n v="44.28"/>
    <n v="3"/>
    <n v="-3.77"/>
  </r>
  <r>
    <n v="229"/>
    <d v="2025-01-11T00:00:00"/>
    <x v="0"/>
    <x v="4"/>
    <d v="2025-01-15T00:00:00"/>
    <n v="4"/>
    <x v="0"/>
    <s v="Customer 50"/>
    <x v="1"/>
    <s v="India"/>
    <s v="Delhi"/>
    <s v="Delhi"/>
    <x v="4"/>
    <x v="0"/>
    <x v="0"/>
    <s v="Product C"/>
    <n v="99.73"/>
    <n v="10"/>
    <n v="-17.39"/>
  </r>
  <r>
    <n v="230"/>
    <d v="2025-10-03T00:00:00"/>
    <x v="0"/>
    <x v="3"/>
    <d v="2025-10-11T00:00:00"/>
    <n v="8"/>
    <x v="1"/>
    <s v="Customer 214"/>
    <x v="2"/>
    <s v="Canada"/>
    <s v="Montreal"/>
    <s v="Quebec"/>
    <x v="0"/>
    <x v="1"/>
    <x v="2"/>
    <s v="Product D"/>
    <n v="43.46"/>
    <n v="4"/>
    <n v="20.77"/>
  </r>
  <r>
    <n v="231"/>
    <d v="2022-01-15T00:00:00"/>
    <x v="2"/>
    <x v="4"/>
    <d v="2022-01-25T00:00:00"/>
    <n v="10"/>
    <x v="1"/>
    <s v="Customer 105"/>
    <x v="0"/>
    <s v="USA"/>
    <s v="Los Angeles"/>
    <s v="California"/>
    <x v="2"/>
    <x v="0"/>
    <x v="1"/>
    <s v="Product D"/>
    <n v="177.14"/>
    <n v="4"/>
    <n v="48.25"/>
  </r>
  <r>
    <n v="232"/>
    <d v="2023-03-12T00:00:00"/>
    <x v="5"/>
    <x v="5"/>
    <d v="2023-03-20T00:00:00"/>
    <n v="8"/>
    <x v="3"/>
    <s v="Customer 91"/>
    <x v="2"/>
    <s v="India"/>
    <s v="Delhi"/>
    <s v="Delhi"/>
    <x v="4"/>
    <x v="0"/>
    <x v="0"/>
    <s v="Product B"/>
    <n v="44.54"/>
    <n v="5"/>
    <n v="-2.89"/>
  </r>
  <r>
    <n v="233"/>
    <d v="2022-02-22T00:00:00"/>
    <x v="2"/>
    <x v="9"/>
    <d v="2022-02-23T00:00:00"/>
    <n v="1"/>
    <x v="2"/>
    <s v="Customer 178"/>
    <x v="0"/>
    <s v="India"/>
    <s v="Delhi"/>
    <s v="Delhi"/>
    <x v="4"/>
    <x v="0"/>
    <x v="1"/>
    <s v="Product A"/>
    <n v="314.77"/>
    <n v="1"/>
    <n v="-52.67"/>
  </r>
  <r>
    <n v="234"/>
    <d v="2022-05-10T00:00:00"/>
    <x v="2"/>
    <x v="0"/>
    <d v="2022-05-13T00:00:00"/>
    <n v="3"/>
    <x v="0"/>
    <s v="Customer 70"/>
    <x v="1"/>
    <s v="Canada"/>
    <s v="Toronto"/>
    <s v="Ontario"/>
    <x v="0"/>
    <x v="0"/>
    <x v="1"/>
    <s v="Product A"/>
    <n v="397.64"/>
    <n v="4"/>
    <n v="143.96"/>
  </r>
  <r>
    <n v="235"/>
    <d v="2025-06-08T00:00:00"/>
    <x v="0"/>
    <x v="2"/>
    <d v="2025-06-13T00:00:00"/>
    <n v="5"/>
    <x v="1"/>
    <s v="Customer 168"/>
    <x v="0"/>
    <s v="India"/>
    <s v="Bangalore"/>
    <s v="Karnataka"/>
    <x v="1"/>
    <x v="1"/>
    <x v="3"/>
    <s v="Product C"/>
    <n v="153.08000000000001"/>
    <n v="8"/>
    <n v="68.83"/>
  </r>
  <r>
    <n v="236"/>
    <d v="2020-06-11T00:00:00"/>
    <x v="3"/>
    <x v="2"/>
    <d v="2020-06-13T00:00:00"/>
    <n v="2"/>
    <x v="1"/>
    <s v="Customer 258"/>
    <x v="2"/>
    <s v="India"/>
    <s v="Delhi"/>
    <s v="Delhi"/>
    <x v="4"/>
    <x v="2"/>
    <x v="4"/>
    <s v="Product A"/>
    <n v="202.72"/>
    <n v="10"/>
    <n v="98"/>
  </r>
  <r>
    <n v="237"/>
    <d v="2024-08-28T00:00:00"/>
    <x v="1"/>
    <x v="8"/>
    <d v="2024-09-05T00:00:00"/>
    <n v="8"/>
    <x v="0"/>
    <s v="Customer 300"/>
    <x v="1"/>
    <s v="Canada"/>
    <s v="Montreal"/>
    <s v="Quebec"/>
    <x v="0"/>
    <x v="1"/>
    <x v="2"/>
    <s v="Product A"/>
    <n v="235.92"/>
    <n v="8"/>
    <n v="5.27"/>
  </r>
  <r>
    <n v="238"/>
    <d v="2021-09-16T00:00:00"/>
    <x v="4"/>
    <x v="6"/>
    <d v="2021-09-24T00:00:00"/>
    <n v="8"/>
    <x v="2"/>
    <s v="Customer 35"/>
    <x v="1"/>
    <s v="Canada"/>
    <s v="Vancouver"/>
    <s v="British Columbia"/>
    <x v="2"/>
    <x v="1"/>
    <x v="2"/>
    <s v="Product C"/>
    <n v="273.72000000000003"/>
    <n v="5"/>
    <n v="-4.5599999999999996"/>
  </r>
  <r>
    <n v="239"/>
    <d v="2021-05-30T00:00:00"/>
    <x v="4"/>
    <x v="0"/>
    <d v="2021-06-02T00:00:00"/>
    <n v="3"/>
    <x v="1"/>
    <s v="Customer 70"/>
    <x v="1"/>
    <s v="India"/>
    <s v="Mumbai"/>
    <s v="Maharashtra"/>
    <x v="2"/>
    <x v="1"/>
    <x v="3"/>
    <s v="Product C"/>
    <n v="473.32"/>
    <n v="7"/>
    <n v="160.09"/>
  </r>
  <r>
    <n v="240"/>
    <d v="2025-07-06T00:00:00"/>
    <x v="0"/>
    <x v="1"/>
    <d v="2025-07-16T00:00:00"/>
    <n v="10"/>
    <x v="2"/>
    <s v="Customer 292"/>
    <x v="1"/>
    <s v="USA"/>
    <s v="Chicago"/>
    <s v="Illinois"/>
    <x v="3"/>
    <x v="2"/>
    <x v="4"/>
    <s v="Product A"/>
    <n v="44.54"/>
    <n v="4"/>
    <n v="-11.53"/>
  </r>
  <r>
    <n v="241"/>
    <d v="2022-07-30T00:00:00"/>
    <x v="2"/>
    <x v="1"/>
    <d v="2022-07-31T00:00:00"/>
    <n v="1"/>
    <x v="2"/>
    <s v="Customer 9"/>
    <x v="2"/>
    <s v="Canada"/>
    <s v="Toronto"/>
    <s v="Ontario"/>
    <x v="0"/>
    <x v="1"/>
    <x v="3"/>
    <s v="Product C"/>
    <n v="191.48"/>
    <n v="1"/>
    <n v="7.37"/>
  </r>
  <r>
    <n v="242"/>
    <d v="2020-04-10T00:00:00"/>
    <x v="3"/>
    <x v="7"/>
    <d v="2020-04-13T00:00:00"/>
    <n v="3"/>
    <x v="3"/>
    <s v="Customer 80"/>
    <x v="1"/>
    <s v="Canada"/>
    <s v="Montreal"/>
    <s v="Quebec"/>
    <x v="0"/>
    <x v="0"/>
    <x v="1"/>
    <s v="Product C"/>
    <n v="348.73"/>
    <n v="7"/>
    <n v="164.37"/>
  </r>
  <r>
    <n v="243"/>
    <d v="2021-05-30T00:00:00"/>
    <x v="4"/>
    <x v="0"/>
    <d v="2021-05-31T00:00:00"/>
    <n v="1"/>
    <x v="1"/>
    <s v="Customer 64"/>
    <x v="0"/>
    <s v="USA"/>
    <s v="Los Angeles"/>
    <s v="California"/>
    <x v="2"/>
    <x v="0"/>
    <x v="1"/>
    <s v="Product D"/>
    <n v="493.94"/>
    <n v="5"/>
    <n v="98.26"/>
  </r>
  <r>
    <n v="244"/>
    <d v="2021-07-10T00:00:00"/>
    <x v="4"/>
    <x v="1"/>
    <d v="2021-07-16T00:00:00"/>
    <n v="6"/>
    <x v="3"/>
    <s v="Customer 12"/>
    <x v="1"/>
    <s v="India"/>
    <s v="Bangalore"/>
    <s v="Karnataka"/>
    <x v="1"/>
    <x v="1"/>
    <x v="2"/>
    <s v="Product D"/>
    <n v="382.47"/>
    <n v="2"/>
    <n v="-74.03"/>
  </r>
  <r>
    <n v="245"/>
    <d v="2022-07-18T00:00:00"/>
    <x v="2"/>
    <x v="1"/>
    <d v="2022-07-28T00:00:00"/>
    <n v="10"/>
    <x v="3"/>
    <s v="Customer 26"/>
    <x v="1"/>
    <s v="Canada"/>
    <s v="Vancouver"/>
    <s v="British Columbia"/>
    <x v="2"/>
    <x v="1"/>
    <x v="3"/>
    <s v="Product D"/>
    <n v="436.38"/>
    <n v="10"/>
    <n v="133.65"/>
  </r>
  <r>
    <n v="246"/>
    <d v="2020-08-07T00:00:00"/>
    <x v="3"/>
    <x v="8"/>
    <d v="2020-08-12T00:00:00"/>
    <n v="5"/>
    <x v="1"/>
    <s v="Customer 186"/>
    <x v="2"/>
    <s v="Canada"/>
    <s v="Montreal"/>
    <s v="Quebec"/>
    <x v="0"/>
    <x v="1"/>
    <x v="2"/>
    <s v="Product D"/>
    <n v="346.84"/>
    <n v="10"/>
    <n v="148.88"/>
  </r>
  <r>
    <n v="247"/>
    <d v="2023-12-25T00:00:00"/>
    <x v="5"/>
    <x v="10"/>
    <d v="2023-12-28T00:00:00"/>
    <n v="3"/>
    <x v="3"/>
    <s v="Customer 138"/>
    <x v="1"/>
    <s v="Canada"/>
    <s v="Montreal"/>
    <s v="Quebec"/>
    <x v="0"/>
    <x v="0"/>
    <x v="0"/>
    <s v="Product D"/>
    <n v="24.2"/>
    <n v="7"/>
    <n v="6.74"/>
  </r>
  <r>
    <n v="248"/>
    <d v="2025-09-25T00:00:00"/>
    <x v="0"/>
    <x v="6"/>
    <d v="2025-09-26T00:00:00"/>
    <n v="1"/>
    <x v="2"/>
    <s v="Customer 70"/>
    <x v="1"/>
    <s v="USA"/>
    <s v="Los Angeles"/>
    <s v="California"/>
    <x v="2"/>
    <x v="2"/>
    <x v="4"/>
    <s v="Product A"/>
    <n v="30.65"/>
    <n v="2"/>
    <n v="-9.0500000000000007"/>
  </r>
  <r>
    <n v="249"/>
    <d v="2024-06-28T00:00:00"/>
    <x v="1"/>
    <x v="2"/>
    <d v="2024-07-05T00:00:00"/>
    <n v="7"/>
    <x v="2"/>
    <s v="Customer 68"/>
    <x v="2"/>
    <s v="USA"/>
    <s v="Los Angeles"/>
    <s v="California"/>
    <x v="2"/>
    <x v="2"/>
    <x v="4"/>
    <s v="Product D"/>
    <n v="119.87"/>
    <n v="9"/>
    <n v="15.86"/>
  </r>
  <r>
    <n v="250"/>
    <d v="2025-04-13T00:00:00"/>
    <x v="0"/>
    <x v="7"/>
    <d v="2025-04-23T00:00:00"/>
    <n v="10"/>
    <x v="0"/>
    <s v="Customer 114"/>
    <x v="2"/>
    <s v="India"/>
    <s v="Bangalore"/>
    <s v="Karnataka"/>
    <x v="1"/>
    <x v="1"/>
    <x v="2"/>
    <s v="Product A"/>
    <n v="282.08999999999997"/>
    <n v="2"/>
    <n v="39.96"/>
  </r>
  <r>
    <n v="251"/>
    <d v="2025-12-13T00:00:00"/>
    <x v="0"/>
    <x v="10"/>
    <d v="2025-12-18T00:00:00"/>
    <n v="5"/>
    <x v="3"/>
    <s v="Customer 262"/>
    <x v="0"/>
    <s v="India"/>
    <s v="Mumbai"/>
    <s v="Maharashtra"/>
    <x v="2"/>
    <x v="0"/>
    <x v="1"/>
    <s v="Product C"/>
    <n v="260.35000000000002"/>
    <n v="3"/>
    <n v="127.5"/>
  </r>
  <r>
    <n v="252"/>
    <d v="2021-12-17T00:00:00"/>
    <x v="4"/>
    <x v="10"/>
    <d v="2021-12-18T00:00:00"/>
    <n v="1"/>
    <x v="2"/>
    <s v="Customer 266"/>
    <x v="2"/>
    <s v="India"/>
    <s v="Delhi"/>
    <s v="Delhi"/>
    <x v="4"/>
    <x v="2"/>
    <x v="5"/>
    <s v="Product B"/>
    <n v="476.48"/>
    <n v="3"/>
    <n v="175.42"/>
  </r>
  <r>
    <n v="253"/>
    <d v="2023-12-06T00:00:00"/>
    <x v="5"/>
    <x v="10"/>
    <d v="2023-12-15T00:00:00"/>
    <n v="9"/>
    <x v="2"/>
    <s v="Customer 255"/>
    <x v="1"/>
    <s v="India"/>
    <s v="Mumbai"/>
    <s v="Maharashtra"/>
    <x v="2"/>
    <x v="0"/>
    <x v="1"/>
    <s v="Product A"/>
    <n v="347"/>
    <n v="8"/>
    <n v="73.22"/>
  </r>
  <r>
    <n v="254"/>
    <d v="2020-11-27T00:00:00"/>
    <x v="3"/>
    <x v="11"/>
    <d v="2020-12-03T00:00:00"/>
    <n v="6"/>
    <x v="0"/>
    <s v="Customer 27"/>
    <x v="2"/>
    <s v="India"/>
    <s v="Delhi"/>
    <s v="Delhi"/>
    <x v="4"/>
    <x v="0"/>
    <x v="0"/>
    <s v="Product B"/>
    <n v="180.27"/>
    <n v="10"/>
    <n v="8.66"/>
  </r>
  <r>
    <n v="255"/>
    <d v="2024-07-31T00:00:00"/>
    <x v="1"/>
    <x v="1"/>
    <d v="2024-08-05T00:00:00"/>
    <n v="5"/>
    <x v="3"/>
    <s v="Customer 165"/>
    <x v="1"/>
    <s v="USA"/>
    <s v="Chicago"/>
    <s v="Illinois"/>
    <x v="3"/>
    <x v="2"/>
    <x v="5"/>
    <s v="Product C"/>
    <n v="161.96"/>
    <n v="6"/>
    <n v="28.88"/>
  </r>
  <r>
    <n v="256"/>
    <d v="2021-08-17T00:00:00"/>
    <x v="4"/>
    <x v="8"/>
    <d v="2021-08-19T00:00:00"/>
    <n v="2"/>
    <x v="3"/>
    <s v="Customer 17"/>
    <x v="1"/>
    <s v="India"/>
    <s v="Delhi"/>
    <s v="Delhi"/>
    <x v="4"/>
    <x v="2"/>
    <x v="5"/>
    <s v="Product D"/>
    <n v="395.25"/>
    <n v="8"/>
    <n v="138.07"/>
  </r>
  <r>
    <n v="257"/>
    <d v="2021-06-17T00:00:00"/>
    <x v="4"/>
    <x v="2"/>
    <d v="2021-06-21T00:00:00"/>
    <n v="4"/>
    <x v="2"/>
    <s v="Customer 155"/>
    <x v="2"/>
    <s v="India"/>
    <s v="Delhi"/>
    <s v="Delhi"/>
    <x v="4"/>
    <x v="2"/>
    <x v="5"/>
    <s v="Product C"/>
    <n v="40.25"/>
    <n v="6"/>
    <n v="-8.36"/>
  </r>
  <r>
    <n v="258"/>
    <d v="2025-11-09T00:00:00"/>
    <x v="0"/>
    <x v="11"/>
    <d v="2025-11-18T00:00:00"/>
    <n v="9"/>
    <x v="2"/>
    <s v="Customer 182"/>
    <x v="2"/>
    <s v="USA"/>
    <s v="Chicago"/>
    <s v="Illinois"/>
    <x v="3"/>
    <x v="1"/>
    <x v="2"/>
    <s v="Product D"/>
    <n v="252.45"/>
    <n v="7"/>
    <n v="12.7"/>
  </r>
  <r>
    <n v="259"/>
    <d v="2024-12-16T00:00:00"/>
    <x v="1"/>
    <x v="10"/>
    <d v="2024-12-21T00:00:00"/>
    <n v="5"/>
    <x v="0"/>
    <s v="Customer 25"/>
    <x v="0"/>
    <s v="Canada"/>
    <s v="Montreal"/>
    <s v="Quebec"/>
    <x v="0"/>
    <x v="2"/>
    <x v="5"/>
    <s v="Product A"/>
    <n v="225.67"/>
    <n v="5"/>
    <n v="-37.47"/>
  </r>
  <r>
    <n v="260"/>
    <d v="2024-03-03T00:00:00"/>
    <x v="1"/>
    <x v="5"/>
    <d v="2024-03-05T00:00:00"/>
    <n v="2"/>
    <x v="2"/>
    <s v="Customer 252"/>
    <x v="2"/>
    <s v="Canada"/>
    <s v="Toronto"/>
    <s v="Ontario"/>
    <x v="0"/>
    <x v="0"/>
    <x v="1"/>
    <s v="Product C"/>
    <n v="175.73"/>
    <n v="1"/>
    <n v="-27.69"/>
  </r>
  <r>
    <n v="261"/>
    <d v="2022-02-21T00:00:00"/>
    <x v="2"/>
    <x v="9"/>
    <d v="2022-03-03T00:00:00"/>
    <n v="10"/>
    <x v="3"/>
    <s v="Customer 160"/>
    <x v="1"/>
    <s v="Canada"/>
    <s v="Toronto"/>
    <s v="Ontario"/>
    <x v="0"/>
    <x v="2"/>
    <x v="4"/>
    <s v="Product A"/>
    <n v="450.19"/>
    <n v="6"/>
    <n v="172.62"/>
  </r>
  <r>
    <n v="262"/>
    <d v="2021-01-02T00:00:00"/>
    <x v="4"/>
    <x v="4"/>
    <d v="2021-01-03T00:00:00"/>
    <n v="1"/>
    <x v="2"/>
    <s v="Customer 51"/>
    <x v="0"/>
    <s v="USA"/>
    <s v="New York"/>
    <s v="New York"/>
    <x v="0"/>
    <x v="0"/>
    <x v="1"/>
    <s v="Product D"/>
    <n v="182.8"/>
    <n v="2"/>
    <n v="28.74"/>
  </r>
  <r>
    <n v="263"/>
    <d v="2025-04-07T00:00:00"/>
    <x v="0"/>
    <x v="7"/>
    <d v="2025-04-16T00:00:00"/>
    <n v="9"/>
    <x v="0"/>
    <s v="Customer 221"/>
    <x v="1"/>
    <s v="India"/>
    <s v="Bangalore"/>
    <s v="Karnataka"/>
    <x v="1"/>
    <x v="0"/>
    <x v="1"/>
    <s v="Product A"/>
    <n v="360.18"/>
    <n v="7"/>
    <n v="109.35"/>
  </r>
  <r>
    <n v="264"/>
    <d v="2023-12-26T00:00:00"/>
    <x v="5"/>
    <x v="10"/>
    <d v="2023-12-28T00:00:00"/>
    <n v="2"/>
    <x v="3"/>
    <s v="Customer 19"/>
    <x v="0"/>
    <s v="India"/>
    <s v="Delhi"/>
    <s v="Delhi"/>
    <x v="4"/>
    <x v="2"/>
    <x v="4"/>
    <s v="Product A"/>
    <n v="167.82"/>
    <n v="7"/>
    <n v="83.07"/>
  </r>
  <r>
    <n v="265"/>
    <d v="2022-07-03T00:00:00"/>
    <x v="2"/>
    <x v="1"/>
    <d v="2022-07-09T00:00:00"/>
    <n v="6"/>
    <x v="1"/>
    <s v="Customer 293"/>
    <x v="1"/>
    <s v="India"/>
    <s v="Bangalore"/>
    <s v="Karnataka"/>
    <x v="1"/>
    <x v="0"/>
    <x v="1"/>
    <s v="Product B"/>
    <n v="461.98"/>
    <n v="3"/>
    <n v="38.35"/>
  </r>
  <r>
    <n v="266"/>
    <d v="2022-11-02T00:00:00"/>
    <x v="2"/>
    <x v="11"/>
    <d v="2022-11-03T00:00:00"/>
    <n v="1"/>
    <x v="2"/>
    <s v="Customer 300"/>
    <x v="1"/>
    <s v="USA"/>
    <s v="Los Angeles"/>
    <s v="California"/>
    <x v="2"/>
    <x v="0"/>
    <x v="1"/>
    <s v="Product A"/>
    <n v="67.430000000000007"/>
    <n v="2"/>
    <n v="21.72"/>
  </r>
  <r>
    <n v="267"/>
    <d v="2025-07-24T00:00:00"/>
    <x v="0"/>
    <x v="1"/>
    <d v="2025-07-28T00:00:00"/>
    <n v="4"/>
    <x v="1"/>
    <s v="Customer 257"/>
    <x v="1"/>
    <s v="USA"/>
    <s v="Chicago"/>
    <s v="Illinois"/>
    <x v="3"/>
    <x v="1"/>
    <x v="3"/>
    <s v="Product C"/>
    <n v="365.51"/>
    <n v="4"/>
    <n v="-35.56"/>
  </r>
  <r>
    <n v="268"/>
    <d v="2023-05-10T00:00:00"/>
    <x v="5"/>
    <x v="0"/>
    <d v="2023-05-12T00:00:00"/>
    <n v="2"/>
    <x v="1"/>
    <s v="Customer 299"/>
    <x v="1"/>
    <s v="USA"/>
    <s v="Chicago"/>
    <s v="Illinois"/>
    <x v="3"/>
    <x v="1"/>
    <x v="2"/>
    <s v="Product C"/>
    <n v="139.86000000000001"/>
    <n v="6"/>
    <n v="-0.4"/>
  </r>
  <r>
    <n v="269"/>
    <d v="2021-08-08T00:00:00"/>
    <x v="4"/>
    <x v="8"/>
    <d v="2021-08-11T00:00:00"/>
    <n v="3"/>
    <x v="1"/>
    <s v="Customer 212"/>
    <x v="0"/>
    <s v="Canada"/>
    <s v="Montreal"/>
    <s v="Quebec"/>
    <x v="0"/>
    <x v="2"/>
    <x v="5"/>
    <s v="Product C"/>
    <n v="121.73"/>
    <n v="1"/>
    <n v="-19.46"/>
  </r>
  <r>
    <n v="270"/>
    <d v="2023-04-06T00:00:00"/>
    <x v="5"/>
    <x v="7"/>
    <d v="2023-04-10T00:00:00"/>
    <n v="4"/>
    <x v="2"/>
    <s v="Customer 241"/>
    <x v="1"/>
    <s v="India"/>
    <s v="Delhi"/>
    <s v="Delhi"/>
    <x v="4"/>
    <x v="1"/>
    <x v="2"/>
    <s v="Product A"/>
    <n v="333.91"/>
    <n v="1"/>
    <n v="87.53"/>
  </r>
  <r>
    <n v="271"/>
    <d v="2020-02-26T00:00:00"/>
    <x v="3"/>
    <x v="9"/>
    <d v="2020-03-02T00:00:00"/>
    <n v="5"/>
    <x v="1"/>
    <s v="Customer 138"/>
    <x v="2"/>
    <s v="India"/>
    <s v="Delhi"/>
    <s v="Delhi"/>
    <x v="4"/>
    <x v="1"/>
    <x v="2"/>
    <s v="Product D"/>
    <n v="330.75"/>
    <n v="5"/>
    <n v="126.93"/>
  </r>
  <r>
    <n v="272"/>
    <d v="2021-09-17T00:00:00"/>
    <x v="4"/>
    <x v="6"/>
    <d v="2021-09-22T00:00:00"/>
    <n v="5"/>
    <x v="0"/>
    <s v="Customer 288"/>
    <x v="2"/>
    <s v="India"/>
    <s v="Mumbai"/>
    <s v="Maharashtra"/>
    <x v="2"/>
    <x v="0"/>
    <x v="0"/>
    <s v="Product B"/>
    <n v="78.95"/>
    <n v="3"/>
    <n v="-21.4"/>
  </r>
  <r>
    <n v="273"/>
    <d v="2021-08-24T00:00:00"/>
    <x v="4"/>
    <x v="8"/>
    <d v="2021-09-03T00:00:00"/>
    <n v="10"/>
    <x v="1"/>
    <s v="Customer 151"/>
    <x v="0"/>
    <s v="India"/>
    <s v="Mumbai"/>
    <s v="Maharashtra"/>
    <x v="2"/>
    <x v="2"/>
    <x v="5"/>
    <s v="Product B"/>
    <n v="78.78"/>
    <n v="10"/>
    <n v="21.71"/>
  </r>
  <r>
    <n v="274"/>
    <d v="2022-11-05T00:00:00"/>
    <x v="2"/>
    <x v="11"/>
    <d v="2022-11-08T00:00:00"/>
    <n v="3"/>
    <x v="0"/>
    <s v="Customer 248"/>
    <x v="0"/>
    <s v="USA"/>
    <s v="Los Angeles"/>
    <s v="California"/>
    <x v="2"/>
    <x v="1"/>
    <x v="2"/>
    <s v="Product A"/>
    <n v="231.73"/>
    <n v="4"/>
    <n v="-19.18"/>
  </r>
  <r>
    <n v="275"/>
    <d v="2021-09-23T00:00:00"/>
    <x v="4"/>
    <x v="6"/>
    <d v="2021-09-29T00:00:00"/>
    <n v="6"/>
    <x v="1"/>
    <s v="Customer 113"/>
    <x v="1"/>
    <s v="Canada"/>
    <s v="Montreal"/>
    <s v="Quebec"/>
    <x v="0"/>
    <x v="2"/>
    <x v="5"/>
    <s v="Product C"/>
    <n v="140.72999999999999"/>
    <n v="3"/>
    <n v="-28.68"/>
  </r>
  <r>
    <n v="276"/>
    <d v="2024-01-09T00:00:00"/>
    <x v="1"/>
    <x v="4"/>
    <d v="2024-01-17T00:00:00"/>
    <n v="8"/>
    <x v="3"/>
    <s v="Customer 151"/>
    <x v="1"/>
    <s v="India"/>
    <s v="Mumbai"/>
    <s v="Maharashtra"/>
    <x v="2"/>
    <x v="1"/>
    <x v="2"/>
    <s v="Product C"/>
    <n v="262.49"/>
    <n v="7"/>
    <n v="46.12"/>
  </r>
  <r>
    <n v="277"/>
    <d v="2024-05-10T00:00:00"/>
    <x v="1"/>
    <x v="0"/>
    <d v="2024-05-14T00:00:00"/>
    <n v="4"/>
    <x v="1"/>
    <s v="Customer 110"/>
    <x v="2"/>
    <s v="India"/>
    <s v="Delhi"/>
    <s v="Delhi"/>
    <x v="4"/>
    <x v="2"/>
    <x v="4"/>
    <s v="Product C"/>
    <n v="321.88"/>
    <n v="5"/>
    <n v="-45.81"/>
  </r>
  <r>
    <n v="278"/>
    <d v="2022-12-09T00:00:00"/>
    <x v="2"/>
    <x v="10"/>
    <d v="2022-12-11T00:00:00"/>
    <n v="2"/>
    <x v="2"/>
    <s v="Customer 189"/>
    <x v="2"/>
    <s v="Canada"/>
    <s v="Vancouver"/>
    <s v="British Columbia"/>
    <x v="2"/>
    <x v="2"/>
    <x v="4"/>
    <s v="Product C"/>
    <n v="485.69"/>
    <n v="8"/>
    <n v="-42.78"/>
  </r>
  <r>
    <n v="279"/>
    <d v="2020-05-11T00:00:00"/>
    <x v="3"/>
    <x v="0"/>
    <d v="2020-05-18T00:00:00"/>
    <n v="7"/>
    <x v="0"/>
    <s v="Customer 159"/>
    <x v="2"/>
    <s v="India"/>
    <s v="Bangalore"/>
    <s v="Karnataka"/>
    <x v="1"/>
    <x v="0"/>
    <x v="1"/>
    <s v="Product D"/>
    <n v="95.89"/>
    <n v="5"/>
    <n v="3.28"/>
  </r>
  <r>
    <n v="280"/>
    <d v="2024-12-29T00:00:00"/>
    <x v="1"/>
    <x v="10"/>
    <d v="2025-01-06T00:00:00"/>
    <n v="8"/>
    <x v="0"/>
    <s v="Customer 272"/>
    <x v="2"/>
    <s v="USA"/>
    <s v="New York"/>
    <s v="New York"/>
    <x v="0"/>
    <x v="1"/>
    <x v="2"/>
    <s v="Product C"/>
    <n v="495.7"/>
    <n v="1"/>
    <n v="188.5"/>
  </r>
  <r>
    <n v="281"/>
    <d v="2023-09-06T00:00:00"/>
    <x v="5"/>
    <x v="6"/>
    <d v="2023-09-15T00:00:00"/>
    <n v="9"/>
    <x v="3"/>
    <s v="Customer 89"/>
    <x v="1"/>
    <s v="USA"/>
    <s v="Chicago"/>
    <s v="Illinois"/>
    <x v="3"/>
    <x v="1"/>
    <x v="2"/>
    <s v="Product C"/>
    <n v="233.76"/>
    <n v="6"/>
    <n v="20.29"/>
  </r>
  <r>
    <n v="282"/>
    <d v="2024-07-31T00:00:00"/>
    <x v="1"/>
    <x v="1"/>
    <d v="2024-08-09T00:00:00"/>
    <n v="9"/>
    <x v="0"/>
    <s v="Customer 239"/>
    <x v="1"/>
    <s v="USA"/>
    <s v="New York"/>
    <s v="New York"/>
    <x v="0"/>
    <x v="2"/>
    <x v="5"/>
    <s v="Product D"/>
    <n v="92.42"/>
    <n v="1"/>
    <n v="-25.19"/>
  </r>
  <r>
    <n v="283"/>
    <d v="2025-01-12T00:00:00"/>
    <x v="0"/>
    <x v="4"/>
    <d v="2025-01-21T00:00:00"/>
    <n v="9"/>
    <x v="0"/>
    <s v="Customer 275"/>
    <x v="2"/>
    <s v="Canada"/>
    <s v="Toronto"/>
    <s v="Ontario"/>
    <x v="0"/>
    <x v="2"/>
    <x v="4"/>
    <s v="Product A"/>
    <n v="296.08"/>
    <n v="10"/>
    <n v="-59.96"/>
  </r>
  <r>
    <n v="284"/>
    <d v="2024-02-16T00:00:00"/>
    <x v="1"/>
    <x v="9"/>
    <d v="2024-02-17T00:00:00"/>
    <n v="1"/>
    <x v="2"/>
    <s v="Customer 72"/>
    <x v="2"/>
    <s v="Canada"/>
    <s v="Toronto"/>
    <s v="Ontario"/>
    <x v="0"/>
    <x v="0"/>
    <x v="0"/>
    <s v="Product B"/>
    <n v="156"/>
    <n v="8"/>
    <n v="16.62"/>
  </r>
  <r>
    <n v="285"/>
    <d v="2021-03-23T00:00:00"/>
    <x v="4"/>
    <x v="5"/>
    <d v="2021-03-27T00:00:00"/>
    <n v="4"/>
    <x v="3"/>
    <s v="Customer 201"/>
    <x v="2"/>
    <s v="India"/>
    <s v="Delhi"/>
    <s v="Delhi"/>
    <x v="4"/>
    <x v="0"/>
    <x v="1"/>
    <s v="Product A"/>
    <n v="150.96"/>
    <n v="7"/>
    <n v="-37.700000000000003"/>
  </r>
  <r>
    <n v="286"/>
    <d v="2024-01-26T00:00:00"/>
    <x v="1"/>
    <x v="4"/>
    <d v="2024-01-29T00:00:00"/>
    <n v="3"/>
    <x v="2"/>
    <s v="Customer 154"/>
    <x v="1"/>
    <s v="India"/>
    <s v="Delhi"/>
    <s v="Delhi"/>
    <x v="4"/>
    <x v="2"/>
    <x v="5"/>
    <s v="Product D"/>
    <n v="450.65"/>
    <n v="5"/>
    <n v="145.12"/>
  </r>
  <r>
    <n v="287"/>
    <d v="2024-04-12T00:00:00"/>
    <x v="1"/>
    <x v="7"/>
    <d v="2024-04-20T00:00:00"/>
    <n v="8"/>
    <x v="2"/>
    <s v="Customer 217"/>
    <x v="1"/>
    <s v="USA"/>
    <s v="Los Angeles"/>
    <s v="California"/>
    <x v="2"/>
    <x v="1"/>
    <x v="3"/>
    <s v="Product B"/>
    <n v="222.96"/>
    <n v="1"/>
    <n v="90.66"/>
  </r>
  <r>
    <n v="288"/>
    <d v="2022-08-02T00:00:00"/>
    <x v="2"/>
    <x v="8"/>
    <d v="2022-08-05T00:00:00"/>
    <n v="3"/>
    <x v="0"/>
    <s v="Customer 49"/>
    <x v="2"/>
    <s v="Canada"/>
    <s v="Toronto"/>
    <s v="Ontario"/>
    <x v="0"/>
    <x v="0"/>
    <x v="1"/>
    <s v="Product A"/>
    <n v="327.74"/>
    <n v="8"/>
    <n v="82.68"/>
  </r>
  <r>
    <n v="289"/>
    <d v="2025-04-27T00:00:00"/>
    <x v="0"/>
    <x v="7"/>
    <d v="2025-04-30T00:00:00"/>
    <n v="3"/>
    <x v="0"/>
    <s v="Customer 39"/>
    <x v="1"/>
    <s v="USA"/>
    <s v="Chicago"/>
    <s v="Illinois"/>
    <x v="3"/>
    <x v="1"/>
    <x v="2"/>
    <s v="Product D"/>
    <n v="223.68"/>
    <n v="1"/>
    <n v="97.84"/>
  </r>
  <r>
    <n v="290"/>
    <d v="2025-01-10T00:00:00"/>
    <x v="0"/>
    <x v="4"/>
    <d v="2025-01-17T00:00:00"/>
    <n v="7"/>
    <x v="2"/>
    <s v="Customer 103"/>
    <x v="0"/>
    <s v="USA"/>
    <s v="New York"/>
    <s v="New York"/>
    <x v="0"/>
    <x v="1"/>
    <x v="2"/>
    <s v="Product C"/>
    <n v="70.33"/>
    <n v="7"/>
    <n v="-4.82"/>
  </r>
  <r>
    <n v="291"/>
    <d v="2022-12-14T00:00:00"/>
    <x v="2"/>
    <x v="10"/>
    <d v="2022-12-17T00:00:00"/>
    <n v="3"/>
    <x v="1"/>
    <s v="Customer 222"/>
    <x v="1"/>
    <s v="Canada"/>
    <s v="Toronto"/>
    <s v="Ontario"/>
    <x v="0"/>
    <x v="1"/>
    <x v="3"/>
    <s v="Product B"/>
    <n v="488.42"/>
    <n v="8"/>
    <n v="-76.790000000000006"/>
  </r>
  <r>
    <n v="292"/>
    <d v="2022-11-28T00:00:00"/>
    <x v="2"/>
    <x v="11"/>
    <d v="2022-12-05T00:00:00"/>
    <n v="7"/>
    <x v="3"/>
    <s v="Customer 11"/>
    <x v="1"/>
    <s v="India"/>
    <s v="Bangalore"/>
    <s v="Karnataka"/>
    <x v="1"/>
    <x v="2"/>
    <x v="4"/>
    <s v="Product C"/>
    <n v="77.2"/>
    <n v="9"/>
    <n v="-3.56"/>
  </r>
  <r>
    <n v="293"/>
    <d v="2022-05-30T00:00:00"/>
    <x v="2"/>
    <x v="0"/>
    <d v="2022-05-31T00:00:00"/>
    <n v="1"/>
    <x v="1"/>
    <s v="Customer 58"/>
    <x v="2"/>
    <s v="USA"/>
    <s v="New York"/>
    <s v="New York"/>
    <x v="0"/>
    <x v="0"/>
    <x v="0"/>
    <s v="Product D"/>
    <n v="164.53"/>
    <n v="5"/>
    <n v="-35.47"/>
  </r>
  <r>
    <n v="294"/>
    <d v="2022-06-05T00:00:00"/>
    <x v="2"/>
    <x v="2"/>
    <d v="2022-06-11T00:00:00"/>
    <n v="6"/>
    <x v="2"/>
    <s v="Customer 116"/>
    <x v="1"/>
    <s v="USA"/>
    <s v="Chicago"/>
    <s v="Illinois"/>
    <x v="3"/>
    <x v="0"/>
    <x v="0"/>
    <s v="Product C"/>
    <n v="318.41000000000003"/>
    <n v="3"/>
    <n v="24.48"/>
  </r>
  <r>
    <n v="295"/>
    <d v="2020-11-06T00:00:00"/>
    <x v="3"/>
    <x v="11"/>
    <d v="2020-11-14T00:00:00"/>
    <n v="8"/>
    <x v="0"/>
    <s v="Customer 67"/>
    <x v="0"/>
    <s v="Canada"/>
    <s v="Montreal"/>
    <s v="Quebec"/>
    <x v="0"/>
    <x v="2"/>
    <x v="4"/>
    <s v="Product A"/>
    <n v="205.59"/>
    <n v="6"/>
    <n v="-60.85"/>
  </r>
  <r>
    <n v="296"/>
    <d v="2020-06-25T00:00:00"/>
    <x v="3"/>
    <x v="2"/>
    <d v="2020-07-04T00:00:00"/>
    <n v="9"/>
    <x v="1"/>
    <s v="Customer 209"/>
    <x v="1"/>
    <s v="Canada"/>
    <s v="Toronto"/>
    <s v="Ontario"/>
    <x v="0"/>
    <x v="0"/>
    <x v="0"/>
    <s v="Product C"/>
    <n v="149.74"/>
    <n v="4"/>
    <n v="-9.4600000000000009"/>
  </r>
  <r>
    <n v="297"/>
    <d v="2021-06-13T00:00:00"/>
    <x v="4"/>
    <x v="2"/>
    <d v="2021-06-16T00:00:00"/>
    <n v="3"/>
    <x v="2"/>
    <s v="Customer 2"/>
    <x v="2"/>
    <s v="Canada"/>
    <s v="Vancouver"/>
    <s v="British Columbia"/>
    <x v="2"/>
    <x v="2"/>
    <x v="5"/>
    <s v="Product B"/>
    <n v="26.41"/>
    <n v="7"/>
    <n v="7.44"/>
  </r>
  <r>
    <n v="298"/>
    <d v="2024-10-08T00:00:00"/>
    <x v="1"/>
    <x v="3"/>
    <d v="2024-10-09T00:00:00"/>
    <n v="1"/>
    <x v="1"/>
    <s v="Customer 87"/>
    <x v="2"/>
    <s v="Canada"/>
    <s v="Vancouver"/>
    <s v="British Columbia"/>
    <x v="2"/>
    <x v="0"/>
    <x v="0"/>
    <s v="Product B"/>
    <n v="480.36"/>
    <n v="9"/>
    <n v="175.87"/>
  </r>
  <r>
    <n v="299"/>
    <d v="2023-01-05T00:00:00"/>
    <x v="5"/>
    <x v="4"/>
    <d v="2023-01-06T00:00:00"/>
    <n v="1"/>
    <x v="2"/>
    <s v="Customer 126"/>
    <x v="0"/>
    <s v="USA"/>
    <s v="Chicago"/>
    <s v="Illinois"/>
    <x v="3"/>
    <x v="0"/>
    <x v="1"/>
    <s v="Product C"/>
    <n v="83.91"/>
    <n v="10"/>
    <n v="27.91"/>
  </r>
  <r>
    <n v="300"/>
    <d v="2020-12-11T00:00:00"/>
    <x v="3"/>
    <x v="10"/>
    <d v="2020-12-13T00:00:00"/>
    <n v="2"/>
    <x v="1"/>
    <s v="Customer 92"/>
    <x v="2"/>
    <s v="USA"/>
    <s v="Los Angeles"/>
    <s v="California"/>
    <x v="2"/>
    <x v="0"/>
    <x v="1"/>
    <s v="Product C"/>
    <n v="487.6"/>
    <n v="8"/>
    <n v="-15.34"/>
  </r>
  <r>
    <n v="301"/>
    <d v="2023-11-30T00:00:00"/>
    <x v="5"/>
    <x v="11"/>
    <d v="2023-12-02T00:00:00"/>
    <n v="2"/>
    <x v="0"/>
    <s v="Customer 73"/>
    <x v="0"/>
    <s v="Canada"/>
    <s v="Montreal"/>
    <s v="Quebec"/>
    <x v="0"/>
    <x v="0"/>
    <x v="1"/>
    <s v="Product D"/>
    <n v="338.74"/>
    <n v="1"/>
    <n v="-46.99"/>
  </r>
  <r>
    <n v="302"/>
    <d v="2025-10-10T00:00:00"/>
    <x v="0"/>
    <x v="3"/>
    <d v="2025-10-11T00:00:00"/>
    <n v="1"/>
    <x v="1"/>
    <s v="Customer 266"/>
    <x v="0"/>
    <s v="India"/>
    <s v="Bangalore"/>
    <s v="Karnataka"/>
    <x v="1"/>
    <x v="1"/>
    <x v="3"/>
    <s v="Product A"/>
    <n v="433.05"/>
    <n v="1"/>
    <n v="106.44"/>
  </r>
  <r>
    <n v="303"/>
    <d v="2021-03-26T00:00:00"/>
    <x v="4"/>
    <x v="5"/>
    <d v="2021-03-28T00:00:00"/>
    <n v="2"/>
    <x v="1"/>
    <s v="Customer 74"/>
    <x v="2"/>
    <s v="India"/>
    <s v="Delhi"/>
    <s v="Delhi"/>
    <x v="4"/>
    <x v="0"/>
    <x v="0"/>
    <s v="Product A"/>
    <n v="290.72000000000003"/>
    <n v="6"/>
    <n v="56.88"/>
  </r>
  <r>
    <n v="304"/>
    <d v="2022-05-27T00:00:00"/>
    <x v="2"/>
    <x v="0"/>
    <d v="2022-06-02T00:00:00"/>
    <n v="6"/>
    <x v="1"/>
    <s v="Customer 226"/>
    <x v="0"/>
    <s v="Canada"/>
    <s v="Vancouver"/>
    <s v="British Columbia"/>
    <x v="2"/>
    <x v="1"/>
    <x v="2"/>
    <s v="Product A"/>
    <n v="292.8"/>
    <n v="9"/>
    <n v="-25.01"/>
  </r>
  <r>
    <n v="305"/>
    <d v="2022-10-16T00:00:00"/>
    <x v="2"/>
    <x v="3"/>
    <d v="2022-10-19T00:00:00"/>
    <n v="3"/>
    <x v="2"/>
    <s v="Customer 84"/>
    <x v="0"/>
    <s v="Canada"/>
    <s v="Toronto"/>
    <s v="Ontario"/>
    <x v="0"/>
    <x v="2"/>
    <x v="5"/>
    <s v="Product B"/>
    <n v="108.98"/>
    <n v="5"/>
    <n v="8.59"/>
  </r>
  <r>
    <n v="306"/>
    <d v="2021-02-27T00:00:00"/>
    <x v="4"/>
    <x v="9"/>
    <d v="2021-03-02T00:00:00"/>
    <n v="3"/>
    <x v="2"/>
    <s v="Customer 257"/>
    <x v="2"/>
    <s v="USA"/>
    <s v="Chicago"/>
    <s v="Illinois"/>
    <x v="3"/>
    <x v="2"/>
    <x v="4"/>
    <s v="Product A"/>
    <n v="225.79"/>
    <n v="8"/>
    <n v="-0.98"/>
  </r>
  <r>
    <n v="307"/>
    <d v="2024-09-18T00:00:00"/>
    <x v="1"/>
    <x v="6"/>
    <d v="2024-09-20T00:00:00"/>
    <n v="2"/>
    <x v="1"/>
    <s v="Customer 184"/>
    <x v="0"/>
    <s v="USA"/>
    <s v="Chicago"/>
    <s v="Illinois"/>
    <x v="3"/>
    <x v="0"/>
    <x v="0"/>
    <s v="Product B"/>
    <n v="123.72"/>
    <n v="6"/>
    <n v="20.16"/>
  </r>
  <r>
    <n v="308"/>
    <d v="2023-08-01T00:00:00"/>
    <x v="5"/>
    <x v="8"/>
    <d v="2023-08-11T00:00:00"/>
    <n v="10"/>
    <x v="3"/>
    <s v="Customer 227"/>
    <x v="1"/>
    <s v="India"/>
    <s v="Bangalore"/>
    <s v="Karnataka"/>
    <x v="1"/>
    <x v="1"/>
    <x v="3"/>
    <s v="Product C"/>
    <n v="324.14999999999998"/>
    <n v="10"/>
    <n v="82.72"/>
  </r>
  <r>
    <n v="309"/>
    <d v="2025-01-09T00:00:00"/>
    <x v="0"/>
    <x v="4"/>
    <d v="2025-01-14T00:00:00"/>
    <n v="5"/>
    <x v="1"/>
    <s v="Customer 38"/>
    <x v="0"/>
    <s v="Canada"/>
    <s v="Vancouver"/>
    <s v="British Columbia"/>
    <x v="2"/>
    <x v="1"/>
    <x v="3"/>
    <s v="Product D"/>
    <n v="257.13"/>
    <n v="10"/>
    <n v="-73.010000000000005"/>
  </r>
  <r>
    <n v="310"/>
    <d v="2024-09-18T00:00:00"/>
    <x v="1"/>
    <x v="6"/>
    <d v="2024-09-25T00:00:00"/>
    <n v="7"/>
    <x v="3"/>
    <s v="Customer 298"/>
    <x v="2"/>
    <s v="USA"/>
    <s v="New York"/>
    <s v="New York"/>
    <x v="0"/>
    <x v="1"/>
    <x v="2"/>
    <s v="Product D"/>
    <n v="262.24"/>
    <n v="9"/>
    <n v="-19.34"/>
  </r>
  <r>
    <n v="311"/>
    <d v="2021-12-29T00:00:00"/>
    <x v="4"/>
    <x v="10"/>
    <d v="2021-12-30T00:00:00"/>
    <n v="1"/>
    <x v="3"/>
    <s v="Customer 42"/>
    <x v="0"/>
    <s v="USA"/>
    <s v="Chicago"/>
    <s v="Illinois"/>
    <x v="3"/>
    <x v="0"/>
    <x v="0"/>
    <s v="Product C"/>
    <n v="168.7"/>
    <n v="2"/>
    <n v="-17.23"/>
  </r>
  <r>
    <n v="312"/>
    <d v="2021-09-04T00:00:00"/>
    <x v="4"/>
    <x v="6"/>
    <d v="2021-09-05T00:00:00"/>
    <n v="1"/>
    <x v="2"/>
    <s v="Customer 241"/>
    <x v="1"/>
    <s v="USA"/>
    <s v="Los Angeles"/>
    <s v="California"/>
    <x v="2"/>
    <x v="1"/>
    <x v="3"/>
    <s v="Product D"/>
    <n v="26.19"/>
    <n v="6"/>
    <n v="5.93"/>
  </r>
  <r>
    <n v="313"/>
    <d v="2021-12-23T00:00:00"/>
    <x v="4"/>
    <x v="10"/>
    <d v="2021-12-30T00:00:00"/>
    <n v="7"/>
    <x v="0"/>
    <s v="Customer 43"/>
    <x v="0"/>
    <s v="USA"/>
    <s v="Chicago"/>
    <s v="Illinois"/>
    <x v="3"/>
    <x v="2"/>
    <x v="5"/>
    <s v="Product A"/>
    <n v="41.7"/>
    <n v="1"/>
    <n v="-3.81"/>
  </r>
  <r>
    <n v="314"/>
    <d v="2023-09-17T00:00:00"/>
    <x v="5"/>
    <x v="6"/>
    <d v="2023-09-21T00:00:00"/>
    <n v="4"/>
    <x v="3"/>
    <s v="Customer 162"/>
    <x v="2"/>
    <s v="Canada"/>
    <s v="Toronto"/>
    <s v="Ontario"/>
    <x v="0"/>
    <x v="1"/>
    <x v="3"/>
    <s v="Product C"/>
    <n v="173.55"/>
    <n v="9"/>
    <n v="-40.11"/>
  </r>
  <r>
    <n v="315"/>
    <d v="2021-03-18T00:00:00"/>
    <x v="4"/>
    <x v="5"/>
    <d v="2021-03-19T00:00:00"/>
    <n v="1"/>
    <x v="2"/>
    <s v="Customer 210"/>
    <x v="2"/>
    <s v="USA"/>
    <s v="Chicago"/>
    <s v="Illinois"/>
    <x v="3"/>
    <x v="1"/>
    <x v="3"/>
    <s v="Product B"/>
    <n v="270.52999999999997"/>
    <n v="6"/>
    <n v="-35.08"/>
  </r>
  <r>
    <n v="316"/>
    <d v="2021-12-21T00:00:00"/>
    <x v="4"/>
    <x v="10"/>
    <d v="2021-12-31T00:00:00"/>
    <n v="10"/>
    <x v="0"/>
    <s v="Customer 220"/>
    <x v="0"/>
    <s v="USA"/>
    <s v="Chicago"/>
    <s v="Illinois"/>
    <x v="3"/>
    <x v="2"/>
    <x v="4"/>
    <s v="Product D"/>
    <n v="47.99"/>
    <n v="7"/>
    <n v="-10.25"/>
  </r>
  <r>
    <n v="317"/>
    <d v="2022-09-06T00:00:00"/>
    <x v="2"/>
    <x v="6"/>
    <d v="2022-09-07T00:00:00"/>
    <n v="1"/>
    <x v="1"/>
    <s v="Customer 293"/>
    <x v="0"/>
    <s v="USA"/>
    <s v="Chicago"/>
    <s v="Illinois"/>
    <x v="3"/>
    <x v="2"/>
    <x v="5"/>
    <s v="Product A"/>
    <n v="233.01"/>
    <n v="1"/>
    <n v="22.97"/>
  </r>
  <r>
    <n v="318"/>
    <d v="2020-06-10T00:00:00"/>
    <x v="3"/>
    <x v="2"/>
    <d v="2020-06-15T00:00:00"/>
    <n v="5"/>
    <x v="3"/>
    <s v="Customer 50"/>
    <x v="2"/>
    <s v="USA"/>
    <s v="Los Angeles"/>
    <s v="California"/>
    <x v="2"/>
    <x v="1"/>
    <x v="3"/>
    <s v="Product B"/>
    <n v="344.74"/>
    <n v="1"/>
    <n v="164.39"/>
  </r>
  <r>
    <n v="319"/>
    <d v="2023-01-21T00:00:00"/>
    <x v="5"/>
    <x v="4"/>
    <d v="2023-01-23T00:00:00"/>
    <n v="2"/>
    <x v="1"/>
    <s v="Customer 235"/>
    <x v="1"/>
    <s v="USA"/>
    <s v="New York"/>
    <s v="New York"/>
    <x v="0"/>
    <x v="1"/>
    <x v="3"/>
    <s v="Product A"/>
    <n v="192.85"/>
    <n v="10"/>
    <n v="-3.89"/>
  </r>
  <r>
    <n v="320"/>
    <d v="2024-02-26T00:00:00"/>
    <x v="1"/>
    <x v="9"/>
    <d v="2024-03-02T00:00:00"/>
    <n v="5"/>
    <x v="3"/>
    <s v="Customer 221"/>
    <x v="1"/>
    <s v="India"/>
    <s v="Bangalore"/>
    <s v="Karnataka"/>
    <x v="1"/>
    <x v="0"/>
    <x v="0"/>
    <s v="Product C"/>
    <n v="448.88"/>
    <n v="8"/>
    <n v="-18.809999999999999"/>
  </r>
  <r>
    <n v="321"/>
    <d v="2023-11-08T00:00:00"/>
    <x v="5"/>
    <x v="11"/>
    <d v="2023-11-10T00:00:00"/>
    <n v="2"/>
    <x v="0"/>
    <s v="Customer 11"/>
    <x v="1"/>
    <s v="India"/>
    <s v="Mumbai"/>
    <s v="Maharashtra"/>
    <x v="2"/>
    <x v="2"/>
    <x v="5"/>
    <s v="Product A"/>
    <n v="314.41000000000003"/>
    <n v="2"/>
    <n v="1.33"/>
  </r>
  <r>
    <n v="322"/>
    <d v="2024-09-02T00:00:00"/>
    <x v="1"/>
    <x v="6"/>
    <d v="2024-09-12T00:00:00"/>
    <n v="10"/>
    <x v="0"/>
    <s v="Customer 247"/>
    <x v="1"/>
    <s v="India"/>
    <s v="Mumbai"/>
    <s v="Maharashtra"/>
    <x v="2"/>
    <x v="2"/>
    <x v="5"/>
    <s v="Product B"/>
    <n v="422.64"/>
    <n v="9"/>
    <n v="-94.49"/>
  </r>
  <r>
    <n v="323"/>
    <d v="2025-11-15T00:00:00"/>
    <x v="0"/>
    <x v="11"/>
    <d v="2025-11-17T00:00:00"/>
    <n v="2"/>
    <x v="3"/>
    <s v="Customer 109"/>
    <x v="2"/>
    <s v="India"/>
    <s v="Mumbai"/>
    <s v="Maharashtra"/>
    <x v="2"/>
    <x v="0"/>
    <x v="1"/>
    <s v="Product C"/>
    <n v="105"/>
    <n v="7"/>
    <n v="-21.14"/>
  </r>
  <r>
    <n v="324"/>
    <d v="2021-12-12T00:00:00"/>
    <x v="4"/>
    <x v="10"/>
    <d v="2021-12-22T00:00:00"/>
    <n v="10"/>
    <x v="0"/>
    <s v="Customer 25"/>
    <x v="0"/>
    <s v="Canada"/>
    <s v="Vancouver"/>
    <s v="British Columbia"/>
    <x v="2"/>
    <x v="0"/>
    <x v="0"/>
    <s v="Product D"/>
    <n v="467.83"/>
    <n v="9"/>
    <n v="-95.53"/>
  </r>
  <r>
    <n v="325"/>
    <d v="2021-06-02T00:00:00"/>
    <x v="4"/>
    <x v="2"/>
    <d v="2021-06-06T00:00:00"/>
    <n v="4"/>
    <x v="2"/>
    <s v="Customer 267"/>
    <x v="0"/>
    <s v="USA"/>
    <s v="Los Angeles"/>
    <s v="California"/>
    <x v="2"/>
    <x v="0"/>
    <x v="0"/>
    <s v="Product A"/>
    <n v="400.04"/>
    <n v="4"/>
    <n v="-98.72"/>
  </r>
  <r>
    <n v="326"/>
    <d v="2025-09-07T00:00:00"/>
    <x v="0"/>
    <x v="6"/>
    <d v="2025-09-17T00:00:00"/>
    <n v="10"/>
    <x v="2"/>
    <s v="Customer 44"/>
    <x v="2"/>
    <s v="USA"/>
    <s v="Chicago"/>
    <s v="Illinois"/>
    <x v="3"/>
    <x v="2"/>
    <x v="4"/>
    <s v="Product D"/>
    <n v="288.64"/>
    <n v="6"/>
    <n v="15.11"/>
  </r>
  <r>
    <n v="327"/>
    <d v="2022-11-17T00:00:00"/>
    <x v="2"/>
    <x v="11"/>
    <d v="2022-11-19T00:00:00"/>
    <n v="2"/>
    <x v="0"/>
    <s v="Customer 142"/>
    <x v="1"/>
    <s v="India"/>
    <s v="Mumbai"/>
    <s v="Maharashtra"/>
    <x v="2"/>
    <x v="2"/>
    <x v="5"/>
    <s v="Product B"/>
    <n v="118.5"/>
    <n v="2"/>
    <n v="-9.06"/>
  </r>
  <r>
    <n v="328"/>
    <d v="2025-05-30T00:00:00"/>
    <x v="0"/>
    <x v="0"/>
    <d v="2025-06-05T00:00:00"/>
    <n v="6"/>
    <x v="1"/>
    <s v="Customer 19"/>
    <x v="0"/>
    <s v="India"/>
    <s v="Mumbai"/>
    <s v="Maharashtra"/>
    <x v="2"/>
    <x v="2"/>
    <x v="5"/>
    <s v="Product D"/>
    <n v="264.64999999999998"/>
    <n v="6"/>
    <n v="-70.67"/>
  </r>
  <r>
    <n v="329"/>
    <d v="2022-05-17T00:00:00"/>
    <x v="2"/>
    <x v="0"/>
    <d v="2022-05-19T00:00:00"/>
    <n v="2"/>
    <x v="3"/>
    <s v="Customer 84"/>
    <x v="2"/>
    <s v="USA"/>
    <s v="Los Angeles"/>
    <s v="California"/>
    <x v="2"/>
    <x v="2"/>
    <x v="4"/>
    <s v="Product B"/>
    <n v="116.29"/>
    <n v="8"/>
    <n v="26.93"/>
  </r>
  <r>
    <n v="330"/>
    <d v="2024-02-06T00:00:00"/>
    <x v="1"/>
    <x v="9"/>
    <d v="2024-02-12T00:00:00"/>
    <n v="6"/>
    <x v="2"/>
    <s v="Customer 197"/>
    <x v="2"/>
    <s v="USA"/>
    <s v="New York"/>
    <s v="New York"/>
    <x v="0"/>
    <x v="1"/>
    <x v="3"/>
    <s v="Product C"/>
    <n v="117.65"/>
    <n v="7"/>
    <n v="-17.05"/>
  </r>
  <r>
    <n v="331"/>
    <d v="2024-11-29T00:00:00"/>
    <x v="1"/>
    <x v="11"/>
    <d v="2024-12-04T00:00:00"/>
    <n v="5"/>
    <x v="3"/>
    <s v="Customer 40"/>
    <x v="0"/>
    <s v="Canada"/>
    <s v="Vancouver"/>
    <s v="British Columbia"/>
    <x v="2"/>
    <x v="0"/>
    <x v="1"/>
    <s v="Product D"/>
    <n v="150.94"/>
    <n v="5"/>
    <n v="70.44"/>
  </r>
  <r>
    <n v="332"/>
    <d v="2022-10-26T00:00:00"/>
    <x v="2"/>
    <x v="3"/>
    <d v="2022-11-01T00:00:00"/>
    <n v="6"/>
    <x v="2"/>
    <s v="Customer 246"/>
    <x v="1"/>
    <s v="Canada"/>
    <s v="Montreal"/>
    <s v="Quebec"/>
    <x v="0"/>
    <x v="2"/>
    <x v="5"/>
    <s v="Product C"/>
    <n v="180.74"/>
    <n v="9"/>
    <n v="87.65"/>
  </r>
  <r>
    <n v="333"/>
    <d v="2024-10-14T00:00:00"/>
    <x v="1"/>
    <x v="3"/>
    <d v="2024-10-15T00:00:00"/>
    <n v="1"/>
    <x v="0"/>
    <s v="Customer 239"/>
    <x v="2"/>
    <s v="Canada"/>
    <s v="Montreal"/>
    <s v="Quebec"/>
    <x v="0"/>
    <x v="0"/>
    <x v="1"/>
    <s v="Product C"/>
    <n v="492.06"/>
    <n v="4"/>
    <n v="-69.56"/>
  </r>
  <r>
    <n v="334"/>
    <d v="2024-10-27T00:00:00"/>
    <x v="1"/>
    <x v="3"/>
    <d v="2024-10-31T00:00:00"/>
    <n v="4"/>
    <x v="1"/>
    <s v="Customer 224"/>
    <x v="2"/>
    <s v="India"/>
    <s v="Delhi"/>
    <s v="Delhi"/>
    <x v="4"/>
    <x v="0"/>
    <x v="1"/>
    <s v="Product B"/>
    <n v="111.45"/>
    <n v="10"/>
    <n v="38.450000000000003"/>
  </r>
  <r>
    <n v="335"/>
    <d v="2024-12-20T00:00:00"/>
    <x v="1"/>
    <x v="10"/>
    <d v="2024-12-29T00:00:00"/>
    <n v="9"/>
    <x v="1"/>
    <s v="Customer 217"/>
    <x v="2"/>
    <s v="Canada"/>
    <s v="Vancouver"/>
    <s v="British Columbia"/>
    <x v="2"/>
    <x v="1"/>
    <x v="3"/>
    <s v="Product A"/>
    <n v="381.21"/>
    <n v="9"/>
    <n v="-92.69"/>
  </r>
  <r>
    <n v="336"/>
    <d v="2020-06-19T00:00:00"/>
    <x v="3"/>
    <x v="2"/>
    <d v="2020-06-25T00:00:00"/>
    <n v="6"/>
    <x v="2"/>
    <s v="Customer 7"/>
    <x v="2"/>
    <s v="India"/>
    <s v="Bangalore"/>
    <s v="Karnataka"/>
    <x v="1"/>
    <x v="2"/>
    <x v="5"/>
    <s v="Product B"/>
    <n v="433.38"/>
    <n v="2"/>
    <n v="187.34"/>
  </r>
  <r>
    <n v="337"/>
    <d v="2024-12-27T00:00:00"/>
    <x v="1"/>
    <x v="10"/>
    <d v="2024-12-31T00:00:00"/>
    <n v="4"/>
    <x v="1"/>
    <s v="Customer 174"/>
    <x v="0"/>
    <s v="Canada"/>
    <s v="Montreal"/>
    <s v="Quebec"/>
    <x v="0"/>
    <x v="0"/>
    <x v="0"/>
    <s v="Product D"/>
    <n v="126.26"/>
    <n v="10"/>
    <n v="43.5"/>
  </r>
  <r>
    <n v="338"/>
    <d v="2023-03-02T00:00:00"/>
    <x v="5"/>
    <x v="5"/>
    <d v="2023-03-05T00:00:00"/>
    <n v="3"/>
    <x v="1"/>
    <s v="Customer 70"/>
    <x v="0"/>
    <s v="USA"/>
    <s v="Los Angeles"/>
    <s v="California"/>
    <x v="2"/>
    <x v="2"/>
    <x v="4"/>
    <s v="Product C"/>
    <n v="193.62"/>
    <n v="10"/>
    <n v="28.65"/>
  </r>
  <r>
    <n v="339"/>
    <d v="2025-08-03T00:00:00"/>
    <x v="0"/>
    <x v="8"/>
    <d v="2025-08-13T00:00:00"/>
    <n v="10"/>
    <x v="3"/>
    <s v="Customer 200"/>
    <x v="2"/>
    <s v="USA"/>
    <s v="New York"/>
    <s v="New York"/>
    <x v="0"/>
    <x v="1"/>
    <x v="2"/>
    <s v="Product B"/>
    <n v="36.75"/>
    <n v="1"/>
    <n v="9.86"/>
  </r>
  <r>
    <n v="340"/>
    <d v="2024-03-02T00:00:00"/>
    <x v="1"/>
    <x v="5"/>
    <d v="2024-03-07T00:00:00"/>
    <n v="5"/>
    <x v="1"/>
    <s v="Customer 103"/>
    <x v="1"/>
    <s v="India"/>
    <s v="Mumbai"/>
    <s v="Maharashtra"/>
    <x v="2"/>
    <x v="0"/>
    <x v="1"/>
    <s v="Product B"/>
    <n v="168.79"/>
    <n v="5"/>
    <n v="32.19"/>
  </r>
  <r>
    <n v="341"/>
    <d v="2020-10-07T00:00:00"/>
    <x v="3"/>
    <x v="3"/>
    <d v="2020-10-13T00:00:00"/>
    <n v="6"/>
    <x v="0"/>
    <s v="Customer 78"/>
    <x v="2"/>
    <s v="USA"/>
    <s v="New York"/>
    <s v="New York"/>
    <x v="0"/>
    <x v="0"/>
    <x v="0"/>
    <s v="Product A"/>
    <n v="400.03"/>
    <n v="6"/>
    <n v="123.72"/>
  </r>
  <r>
    <n v="342"/>
    <d v="2023-08-09T00:00:00"/>
    <x v="5"/>
    <x v="8"/>
    <d v="2023-08-12T00:00:00"/>
    <n v="3"/>
    <x v="1"/>
    <s v="Customer 11"/>
    <x v="1"/>
    <s v="USA"/>
    <s v="Chicago"/>
    <s v="Illinois"/>
    <x v="3"/>
    <x v="2"/>
    <x v="4"/>
    <s v="Product D"/>
    <n v="287.91000000000003"/>
    <n v="8"/>
    <n v="142"/>
  </r>
  <r>
    <n v="343"/>
    <d v="2021-02-25T00:00:00"/>
    <x v="4"/>
    <x v="9"/>
    <d v="2021-03-07T00:00:00"/>
    <n v="10"/>
    <x v="2"/>
    <s v="Customer 256"/>
    <x v="2"/>
    <s v="Canada"/>
    <s v="Montreal"/>
    <s v="Quebec"/>
    <x v="0"/>
    <x v="2"/>
    <x v="5"/>
    <s v="Product B"/>
    <n v="313.35000000000002"/>
    <n v="6"/>
    <n v="110.15"/>
  </r>
  <r>
    <n v="344"/>
    <d v="2024-08-03T00:00:00"/>
    <x v="1"/>
    <x v="8"/>
    <d v="2024-08-04T00:00:00"/>
    <n v="1"/>
    <x v="1"/>
    <s v="Customer 181"/>
    <x v="2"/>
    <s v="Canada"/>
    <s v="Vancouver"/>
    <s v="British Columbia"/>
    <x v="2"/>
    <x v="1"/>
    <x v="2"/>
    <s v="Product C"/>
    <n v="414.66"/>
    <n v="5"/>
    <n v="10.02"/>
  </r>
  <r>
    <n v="345"/>
    <d v="2025-01-22T00:00:00"/>
    <x v="0"/>
    <x v="4"/>
    <d v="2025-01-28T00:00:00"/>
    <n v="6"/>
    <x v="3"/>
    <s v="Customer 102"/>
    <x v="0"/>
    <s v="USA"/>
    <s v="Chicago"/>
    <s v="Illinois"/>
    <x v="3"/>
    <x v="0"/>
    <x v="0"/>
    <s v="Product B"/>
    <n v="134.84"/>
    <n v="2"/>
    <n v="36.229999999999997"/>
  </r>
  <r>
    <n v="346"/>
    <d v="2020-04-26T00:00:00"/>
    <x v="3"/>
    <x v="7"/>
    <d v="2020-04-29T00:00:00"/>
    <n v="3"/>
    <x v="3"/>
    <s v="Customer 273"/>
    <x v="1"/>
    <s v="USA"/>
    <s v="New York"/>
    <s v="New York"/>
    <x v="0"/>
    <x v="2"/>
    <x v="5"/>
    <s v="Product D"/>
    <n v="140.08000000000001"/>
    <n v="2"/>
    <n v="66.819999999999993"/>
  </r>
  <r>
    <n v="347"/>
    <d v="2023-09-28T00:00:00"/>
    <x v="5"/>
    <x v="6"/>
    <d v="2023-10-03T00:00:00"/>
    <n v="5"/>
    <x v="1"/>
    <s v="Customer 10"/>
    <x v="2"/>
    <s v="Canada"/>
    <s v="Montreal"/>
    <s v="Quebec"/>
    <x v="0"/>
    <x v="0"/>
    <x v="0"/>
    <s v="Product C"/>
    <n v="459.37"/>
    <n v="7"/>
    <n v="135.25"/>
  </r>
  <r>
    <n v="348"/>
    <d v="2021-11-03T00:00:00"/>
    <x v="4"/>
    <x v="11"/>
    <d v="2021-11-07T00:00:00"/>
    <n v="4"/>
    <x v="3"/>
    <s v="Customer 92"/>
    <x v="0"/>
    <s v="India"/>
    <s v="Bangalore"/>
    <s v="Karnataka"/>
    <x v="1"/>
    <x v="1"/>
    <x v="3"/>
    <s v="Product D"/>
    <n v="382.22"/>
    <n v="6"/>
    <n v="-11.69"/>
  </r>
  <r>
    <n v="349"/>
    <d v="2023-08-11T00:00:00"/>
    <x v="5"/>
    <x v="8"/>
    <d v="2023-08-16T00:00:00"/>
    <n v="5"/>
    <x v="1"/>
    <s v="Customer 298"/>
    <x v="0"/>
    <s v="USA"/>
    <s v="Los Angeles"/>
    <s v="California"/>
    <x v="2"/>
    <x v="0"/>
    <x v="0"/>
    <s v="Product D"/>
    <n v="216.72"/>
    <n v="5"/>
    <n v="-42.5"/>
  </r>
  <r>
    <n v="350"/>
    <d v="2022-12-16T00:00:00"/>
    <x v="2"/>
    <x v="10"/>
    <d v="2022-12-24T00:00:00"/>
    <n v="8"/>
    <x v="2"/>
    <s v="Customer 87"/>
    <x v="0"/>
    <s v="Canada"/>
    <s v="Vancouver"/>
    <s v="British Columbia"/>
    <x v="2"/>
    <x v="1"/>
    <x v="2"/>
    <s v="Product C"/>
    <n v="241.67"/>
    <n v="2"/>
    <n v="33.07"/>
  </r>
  <r>
    <n v="351"/>
    <d v="2020-04-13T00:00:00"/>
    <x v="3"/>
    <x v="7"/>
    <d v="2020-04-18T00:00:00"/>
    <n v="5"/>
    <x v="0"/>
    <s v="Customer 130"/>
    <x v="2"/>
    <s v="USA"/>
    <s v="New York"/>
    <s v="New York"/>
    <x v="0"/>
    <x v="2"/>
    <x v="5"/>
    <s v="Product B"/>
    <n v="129.9"/>
    <n v="9"/>
    <n v="52.93"/>
  </r>
  <r>
    <n v="352"/>
    <d v="2024-07-18T00:00:00"/>
    <x v="1"/>
    <x v="1"/>
    <d v="2024-07-21T00:00:00"/>
    <n v="3"/>
    <x v="1"/>
    <s v="Customer 202"/>
    <x v="2"/>
    <s v="USA"/>
    <s v="Los Angeles"/>
    <s v="California"/>
    <x v="2"/>
    <x v="1"/>
    <x v="3"/>
    <s v="Product B"/>
    <n v="470.43"/>
    <n v="10"/>
    <n v="68.47"/>
  </r>
  <r>
    <n v="353"/>
    <d v="2020-12-02T00:00:00"/>
    <x v="3"/>
    <x v="10"/>
    <d v="2020-12-07T00:00:00"/>
    <n v="5"/>
    <x v="2"/>
    <s v="Customer 129"/>
    <x v="0"/>
    <s v="India"/>
    <s v="Bangalore"/>
    <s v="Karnataka"/>
    <x v="1"/>
    <x v="1"/>
    <x v="3"/>
    <s v="Product B"/>
    <n v="424.95"/>
    <n v="5"/>
    <n v="80.98"/>
  </r>
  <r>
    <n v="354"/>
    <d v="2025-09-10T00:00:00"/>
    <x v="0"/>
    <x v="6"/>
    <d v="2025-09-20T00:00:00"/>
    <n v="10"/>
    <x v="1"/>
    <s v="Customer 117"/>
    <x v="0"/>
    <s v="Canada"/>
    <s v="Toronto"/>
    <s v="Ontario"/>
    <x v="0"/>
    <x v="1"/>
    <x v="2"/>
    <s v="Product B"/>
    <n v="339.24"/>
    <n v="3"/>
    <n v="-68.33"/>
  </r>
  <r>
    <n v="355"/>
    <d v="2022-10-18T00:00:00"/>
    <x v="2"/>
    <x v="3"/>
    <d v="2022-10-25T00:00:00"/>
    <n v="7"/>
    <x v="0"/>
    <s v="Customer 163"/>
    <x v="2"/>
    <s v="USA"/>
    <s v="New York"/>
    <s v="New York"/>
    <x v="0"/>
    <x v="0"/>
    <x v="1"/>
    <s v="Product B"/>
    <n v="191.75"/>
    <n v="1"/>
    <n v="23.24"/>
  </r>
  <r>
    <n v="356"/>
    <d v="2023-07-30T00:00:00"/>
    <x v="5"/>
    <x v="1"/>
    <d v="2023-08-02T00:00:00"/>
    <n v="3"/>
    <x v="3"/>
    <s v="Customer 139"/>
    <x v="1"/>
    <s v="USA"/>
    <s v="Chicago"/>
    <s v="Illinois"/>
    <x v="3"/>
    <x v="2"/>
    <x v="5"/>
    <s v="Product B"/>
    <n v="440"/>
    <n v="6"/>
    <n v="-46.17"/>
  </r>
  <r>
    <n v="357"/>
    <d v="2023-01-03T00:00:00"/>
    <x v="5"/>
    <x v="4"/>
    <d v="2023-01-09T00:00:00"/>
    <n v="6"/>
    <x v="1"/>
    <s v="Customer 135"/>
    <x v="1"/>
    <s v="Canada"/>
    <s v="Toronto"/>
    <s v="Ontario"/>
    <x v="0"/>
    <x v="2"/>
    <x v="4"/>
    <s v="Product A"/>
    <n v="48.61"/>
    <n v="8"/>
    <n v="8.93"/>
  </r>
  <r>
    <n v="358"/>
    <d v="2022-11-11T00:00:00"/>
    <x v="2"/>
    <x v="11"/>
    <d v="2022-11-18T00:00:00"/>
    <n v="7"/>
    <x v="3"/>
    <s v="Customer 189"/>
    <x v="2"/>
    <s v="Canada"/>
    <s v="Toronto"/>
    <s v="Ontario"/>
    <x v="0"/>
    <x v="1"/>
    <x v="2"/>
    <s v="Product A"/>
    <n v="203.25"/>
    <n v="10"/>
    <n v="37.53"/>
  </r>
  <r>
    <n v="359"/>
    <d v="2020-07-04T00:00:00"/>
    <x v="3"/>
    <x v="1"/>
    <d v="2020-07-12T00:00:00"/>
    <n v="8"/>
    <x v="0"/>
    <s v="Customer 261"/>
    <x v="2"/>
    <s v="USA"/>
    <s v="Los Angeles"/>
    <s v="California"/>
    <x v="2"/>
    <x v="2"/>
    <x v="5"/>
    <s v="Product D"/>
    <n v="247.97"/>
    <n v="10"/>
    <n v="-57.29"/>
  </r>
  <r>
    <n v="360"/>
    <d v="2024-09-29T00:00:00"/>
    <x v="1"/>
    <x v="6"/>
    <d v="2024-10-01T00:00:00"/>
    <n v="2"/>
    <x v="0"/>
    <s v="Customer 259"/>
    <x v="1"/>
    <s v="USA"/>
    <s v="New York"/>
    <s v="New York"/>
    <x v="0"/>
    <x v="1"/>
    <x v="2"/>
    <s v="Product D"/>
    <n v="242.85"/>
    <n v="4"/>
    <n v="-5.28"/>
  </r>
  <r>
    <n v="361"/>
    <d v="2020-05-12T00:00:00"/>
    <x v="3"/>
    <x v="0"/>
    <d v="2020-05-20T00:00:00"/>
    <n v="8"/>
    <x v="3"/>
    <s v="Customer 21"/>
    <x v="2"/>
    <s v="Canada"/>
    <s v="Vancouver"/>
    <s v="British Columbia"/>
    <x v="2"/>
    <x v="2"/>
    <x v="4"/>
    <s v="Product C"/>
    <n v="299.69"/>
    <n v="1"/>
    <n v="120.86"/>
  </r>
  <r>
    <n v="362"/>
    <d v="2020-08-05T00:00:00"/>
    <x v="3"/>
    <x v="8"/>
    <d v="2020-08-08T00:00:00"/>
    <n v="3"/>
    <x v="1"/>
    <s v="Customer 70"/>
    <x v="0"/>
    <s v="India"/>
    <s v="Mumbai"/>
    <s v="Maharashtra"/>
    <x v="2"/>
    <x v="2"/>
    <x v="5"/>
    <s v="Product C"/>
    <n v="379.4"/>
    <n v="1"/>
    <n v="-92.86"/>
  </r>
  <r>
    <n v="363"/>
    <d v="2025-06-12T00:00:00"/>
    <x v="0"/>
    <x v="2"/>
    <d v="2025-06-16T00:00:00"/>
    <n v="4"/>
    <x v="3"/>
    <s v="Customer 223"/>
    <x v="0"/>
    <s v="India"/>
    <s v="Bangalore"/>
    <s v="Karnataka"/>
    <x v="1"/>
    <x v="1"/>
    <x v="2"/>
    <s v="Product D"/>
    <n v="186.75"/>
    <n v="6"/>
    <n v="-47.64"/>
  </r>
  <r>
    <n v="364"/>
    <d v="2021-05-10T00:00:00"/>
    <x v="4"/>
    <x v="0"/>
    <d v="2021-05-14T00:00:00"/>
    <n v="4"/>
    <x v="1"/>
    <s v="Customer 238"/>
    <x v="2"/>
    <s v="India"/>
    <s v="Delhi"/>
    <s v="Delhi"/>
    <x v="4"/>
    <x v="2"/>
    <x v="5"/>
    <s v="Product C"/>
    <n v="59.17"/>
    <n v="9"/>
    <n v="16.91"/>
  </r>
  <r>
    <n v="365"/>
    <d v="2022-02-28T00:00:00"/>
    <x v="2"/>
    <x v="9"/>
    <d v="2022-03-01T00:00:00"/>
    <n v="1"/>
    <x v="0"/>
    <s v="Customer 44"/>
    <x v="0"/>
    <s v="Canada"/>
    <s v="Toronto"/>
    <s v="Ontario"/>
    <x v="0"/>
    <x v="2"/>
    <x v="5"/>
    <s v="Product D"/>
    <n v="201.64"/>
    <n v="5"/>
    <n v="-23.06"/>
  </r>
  <r>
    <n v="366"/>
    <d v="2023-12-17T00:00:00"/>
    <x v="5"/>
    <x v="10"/>
    <d v="2023-12-27T00:00:00"/>
    <n v="10"/>
    <x v="3"/>
    <s v="Customer 229"/>
    <x v="0"/>
    <s v="India"/>
    <s v="Bangalore"/>
    <s v="Karnataka"/>
    <x v="1"/>
    <x v="2"/>
    <x v="4"/>
    <s v="Product D"/>
    <n v="273.66000000000003"/>
    <n v="9"/>
    <n v="54.84"/>
  </r>
  <r>
    <n v="367"/>
    <d v="2024-10-14T00:00:00"/>
    <x v="1"/>
    <x v="3"/>
    <d v="2024-10-20T00:00:00"/>
    <n v="6"/>
    <x v="3"/>
    <s v="Customer 87"/>
    <x v="1"/>
    <s v="USA"/>
    <s v="Chicago"/>
    <s v="Illinois"/>
    <x v="3"/>
    <x v="1"/>
    <x v="3"/>
    <s v="Product D"/>
    <n v="423.98"/>
    <n v="6"/>
    <n v="90.65"/>
  </r>
  <r>
    <n v="368"/>
    <d v="2020-12-11T00:00:00"/>
    <x v="3"/>
    <x v="10"/>
    <d v="2020-12-19T00:00:00"/>
    <n v="8"/>
    <x v="0"/>
    <s v="Customer 133"/>
    <x v="0"/>
    <s v="USA"/>
    <s v="Chicago"/>
    <s v="Illinois"/>
    <x v="3"/>
    <x v="2"/>
    <x v="4"/>
    <s v="Product D"/>
    <n v="268.77999999999997"/>
    <n v="4"/>
    <n v="131.88"/>
  </r>
  <r>
    <n v="369"/>
    <d v="2021-11-05T00:00:00"/>
    <x v="4"/>
    <x v="11"/>
    <d v="2021-11-08T00:00:00"/>
    <n v="3"/>
    <x v="3"/>
    <s v="Customer 119"/>
    <x v="0"/>
    <s v="USA"/>
    <s v="Chicago"/>
    <s v="Illinois"/>
    <x v="3"/>
    <x v="0"/>
    <x v="1"/>
    <s v="Product C"/>
    <n v="93.22"/>
    <n v="2"/>
    <n v="37.630000000000003"/>
  </r>
  <r>
    <n v="370"/>
    <d v="2024-09-25T00:00:00"/>
    <x v="1"/>
    <x v="6"/>
    <d v="2024-09-30T00:00:00"/>
    <n v="5"/>
    <x v="2"/>
    <s v="Customer 241"/>
    <x v="0"/>
    <s v="India"/>
    <s v="Delhi"/>
    <s v="Delhi"/>
    <x v="4"/>
    <x v="1"/>
    <x v="2"/>
    <s v="Product B"/>
    <n v="440.05"/>
    <n v="7"/>
    <n v="-38.99"/>
  </r>
  <r>
    <n v="371"/>
    <d v="2020-09-06T00:00:00"/>
    <x v="3"/>
    <x v="6"/>
    <d v="2020-09-13T00:00:00"/>
    <n v="7"/>
    <x v="3"/>
    <s v="Customer 176"/>
    <x v="1"/>
    <s v="USA"/>
    <s v="New York"/>
    <s v="New York"/>
    <x v="0"/>
    <x v="1"/>
    <x v="2"/>
    <s v="Product C"/>
    <n v="92.38"/>
    <n v="8"/>
    <n v="9.31"/>
  </r>
  <r>
    <n v="372"/>
    <d v="2023-10-15T00:00:00"/>
    <x v="5"/>
    <x v="3"/>
    <d v="2023-10-22T00:00:00"/>
    <n v="7"/>
    <x v="0"/>
    <s v="Customer 10"/>
    <x v="0"/>
    <s v="USA"/>
    <s v="Chicago"/>
    <s v="Illinois"/>
    <x v="3"/>
    <x v="1"/>
    <x v="3"/>
    <s v="Product C"/>
    <n v="363.67"/>
    <n v="6"/>
    <n v="124.9"/>
  </r>
  <r>
    <n v="373"/>
    <d v="2025-01-30T00:00:00"/>
    <x v="0"/>
    <x v="4"/>
    <d v="2025-02-09T00:00:00"/>
    <n v="10"/>
    <x v="2"/>
    <s v="Customer 108"/>
    <x v="1"/>
    <s v="India"/>
    <s v="Bangalore"/>
    <s v="Karnataka"/>
    <x v="1"/>
    <x v="0"/>
    <x v="1"/>
    <s v="Product C"/>
    <n v="35.82"/>
    <n v="10"/>
    <n v="-8.92"/>
  </r>
  <r>
    <n v="374"/>
    <d v="2020-06-27T00:00:00"/>
    <x v="3"/>
    <x v="2"/>
    <d v="2020-07-07T00:00:00"/>
    <n v="10"/>
    <x v="1"/>
    <s v="Customer 277"/>
    <x v="0"/>
    <s v="India"/>
    <s v="Delhi"/>
    <s v="Delhi"/>
    <x v="4"/>
    <x v="0"/>
    <x v="0"/>
    <s v="Product C"/>
    <n v="365.25"/>
    <n v="10"/>
    <n v="29.73"/>
  </r>
  <r>
    <n v="375"/>
    <d v="2020-06-20T00:00:00"/>
    <x v="3"/>
    <x v="2"/>
    <d v="2020-06-26T00:00:00"/>
    <n v="6"/>
    <x v="0"/>
    <s v="Customer 227"/>
    <x v="1"/>
    <s v="India"/>
    <s v="Mumbai"/>
    <s v="Maharashtra"/>
    <x v="2"/>
    <x v="1"/>
    <x v="3"/>
    <s v="Product C"/>
    <n v="491.53"/>
    <n v="3"/>
    <n v="-31.9"/>
  </r>
  <r>
    <n v="376"/>
    <d v="2024-03-11T00:00:00"/>
    <x v="1"/>
    <x v="5"/>
    <d v="2024-03-20T00:00:00"/>
    <n v="9"/>
    <x v="0"/>
    <s v="Customer 247"/>
    <x v="0"/>
    <s v="USA"/>
    <s v="Chicago"/>
    <s v="Illinois"/>
    <x v="3"/>
    <x v="2"/>
    <x v="4"/>
    <s v="Product D"/>
    <n v="388.75"/>
    <n v="2"/>
    <n v="56.88"/>
  </r>
  <r>
    <n v="377"/>
    <d v="2024-05-29T00:00:00"/>
    <x v="1"/>
    <x v="0"/>
    <d v="2024-06-05T00:00:00"/>
    <n v="7"/>
    <x v="1"/>
    <s v="Customer 298"/>
    <x v="2"/>
    <s v="USA"/>
    <s v="New York"/>
    <s v="New York"/>
    <x v="0"/>
    <x v="2"/>
    <x v="5"/>
    <s v="Product A"/>
    <n v="363.25"/>
    <n v="1"/>
    <n v="-72.37"/>
  </r>
  <r>
    <n v="378"/>
    <d v="2024-12-10T00:00:00"/>
    <x v="1"/>
    <x v="10"/>
    <d v="2024-12-11T00:00:00"/>
    <n v="1"/>
    <x v="0"/>
    <s v="Customer 15"/>
    <x v="2"/>
    <s v="Canada"/>
    <s v="Toronto"/>
    <s v="Ontario"/>
    <x v="0"/>
    <x v="1"/>
    <x v="2"/>
    <s v="Product A"/>
    <n v="286.75"/>
    <n v="7"/>
    <n v="114.12"/>
  </r>
  <r>
    <n v="379"/>
    <d v="2022-02-11T00:00:00"/>
    <x v="2"/>
    <x v="9"/>
    <d v="2022-02-21T00:00:00"/>
    <n v="10"/>
    <x v="1"/>
    <s v="Customer 92"/>
    <x v="0"/>
    <s v="Canada"/>
    <s v="Montreal"/>
    <s v="Quebec"/>
    <x v="0"/>
    <x v="1"/>
    <x v="3"/>
    <s v="Product A"/>
    <n v="268.07"/>
    <n v="9"/>
    <n v="54.93"/>
  </r>
  <r>
    <n v="380"/>
    <d v="2020-06-05T00:00:00"/>
    <x v="3"/>
    <x v="2"/>
    <d v="2020-06-14T00:00:00"/>
    <n v="9"/>
    <x v="3"/>
    <s v="Customer 257"/>
    <x v="1"/>
    <s v="USA"/>
    <s v="New York"/>
    <s v="New York"/>
    <x v="0"/>
    <x v="1"/>
    <x v="2"/>
    <s v="Product A"/>
    <n v="158.16999999999999"/>
    <n v="8"/>
    <n v="55.59"/>
  </r>
  <r>
    <n v="381"/>
    <d v="2024-08-15T00:00:00"/>
    <x v="1"/>
    <x v="8"/>
    <d v="2024-08-24T00:00:00"/>
    <n v="9"/>
    <x v="0"/>
    <s v="Customer 97"/>
    <x v="2"/>
    <s v="Canada"/>
    <s v="Vancouver"/>
    <s v="British Columbia"/>
    <x v="2"/>
    <x v="1"/>
    <x v="3"/>
    <s v="Product B"/>
    <n v="399.18"/>
    <n v="7"/>
    <n v="60.13"/>
  </r>
  <r>
    <n v="382"/>
    <d v="2024-06-12T00:00:00"/>
    <x v="1"/>
    <x v="2"/>
    <d v="2024-06-15T00:00:00"/>
    <n v="3"/>
    <x v="0"/>
    <s v="Customer 294"/>
    <x v="1"/>
    <s v="Canada"/>
    <s v="Vancouver"/>
    <s v="British Columbia"/>
    <x v="2"/>
    <x v="0"/>
    <x v="0"/>
    <s v="Product D"/>
    <n v="57.76"/>
    <n v="6"/>
    <n v="-15.91"/>
  </r>
  <r>
    <n v="383"/>
    <d v="2021-06-05T00:00:00"/>
    <x v="4"/>
    <x v="2"/>
    <d v="2021-06-07T00:00:00"/>
    <n v="2"/>
    <x v="1"/>
    <s v="Customer 58"/>
    <x v="0"/>
    <s v="India"/>
    <s v="Delhi"/>
    <s v="Delhi"/>
    <x v="4"/>
    <x v="0"/>
    <x v="0"/>
    <s v="Product B"/>
    <n v="334.34"/>
    <n v="5"/>
    <n v="-94.08"/>
  </r>
  <r>
    <n v="384"/>
    <d v="2021-05-01T00:00:00"/>
    <x v="4"/>
    <x v="0"/>
    <d v="2021-05-11T00:00:00"/>
    <n v="10"/>
    <x v="3"/>
    <s v="Customer 82"/>
    <x v="0"/>
    <s v="India"/>
    <s v="Delhi"/>
    <s v="Delhi"/>
    <x v="4"/>
    <x v="1"/>
    <x v="2"/>
    <s v="Product B"/>
    <n v="191.13"/>
    <n v="9"/>
    <n v="-27.88"/>
  </r>
  <r>
    <n v="385"/>
    <d v="2023-08-22T00:00:00"/>
    <x v="5"/>
    <x v="8"/>
    <d v="2023-09-01T00:00:00"/>
    <n v="10"/>
    <x v="0"/>
    <s v="Customer 265"/>
    <x v="1"/>
    <s v="USA"/>
    <s v="Los Angeles"/>
    <s v="California"/>
    <x v="2"/>
    <x v="1"/>
    <x v="3"/>
    <s v="Product A"/>
    <n v="313.42"/>
    <n v="9"/>
    <n v="-31.17"/>
  </r>
  <r>
    <n v="386"/>
    <d v="2022-04-05T00:00:00"/>
    <x v="2"/>
    <x v="7"/>
    <d v="2022-04-09T00:00:00"/>
    <n v="4"/>
    <x v="2"/>
    <s v="Customer 233"/>
    <x v="2"/>
    <s v="USA"/>
    <s v="Chicago"/>
    <s v="Illinois"/>
    <x v="3"/>
    <x v="0"/>
    <x v="0"/>
    <s v="Product D"/>
    <n v="111.27"/>
    <n v="7"/>
    <n v="-25.49"/>
  </r>
  <r>
    <n v="387"/>
    <d v="2025-10-04T00:00:00"/>
    <x v="0"/>
    <x v="3"/>
    <d v="2025-10-12T00:00:00"/>
    <n v="8"/>
    <x v="1"/>
    <s v="Customer 98"/>
    <x v="1"/>
    <s v="Canada"/>
    <s v="Toronto"/>
    <s v="Ontario"/>
    <x v="0"/>
    <x v="1"/>
    <x v="2"/>
    <s v="Product D"/>
    <n v="467.8"/>
    <n v="10"/>
    <n v="-24.85"/>
  </r>
  <r>
    <n v="388"/>
    <d v="2025-08-11T00:00:00"/>
    <x v="0"/>
    <x v="8"/>
    <d v="2025-08-16T00:00:00"/>
    <n v="5"/>
    <x v="2"/>
    <s v="Customer 25"/>
    <x v="1"/>
    <s v="USA"/>
    <s v="New York"/>
    <s v="New York"/>
    <x v="0"/>
    <x v="1"/>
    <x v="3"/>
    <s v="Product A"/>
    <n v="297.54000000000002"/>
    <n v="9"/>
    <n v="131.72999999999999"/>
  </r>
  <r>
    <n v="389"/>
    <d v="2025-06-08T00:00:00"/>
    <x v="0"/>
    <x v="2"/>
    <d v="2025-06-17T00:00:00"/>
    <n v="9"/>
    <x v="1"/>
    <s v="Customer 199"/>
    <x v="1"/>
    <s v="Canada"/>
    <s v="Vancouver"/>
    <s v="British Columbia"/>
    <x v="2"/>
    <x v="0"/>
    <x v="0"/>
    <s v="Product A"/>
    <n v="179.77"/>
    <n v="3"/>
    <n v="-48.59"/>
  </r>
  <r>
    <n v="390"/>
    <d v="2024-04-09T00:00:00"/>
    <x v="1"/>
    <x v="7"/>
    <d v="2024-04-12T00:00:00"/>
    <n v="3"/>
    <x v="3"/>
    <s v="Customer 269"/>
    <x v="0"/>
    <s v="India"/>
    <s v="Bangalore"/>
    <s v="Karnataka"/>
    <x v="1"/>
    <x v="2"/>
    <x v="4"/>
    <s v="Product C"/>
    <n v="160.4"/>
    <n v="4"/>
    <n v="15.31"/>
  </r>
  <r>
    <n v="391"/>
    <d v="2025-06-05T00:00:00"/>
    <x v="0"/>
    <x v="2"/>
    <d v="2025-06-11T00:00:00"/>
    <n v="6"/>
    <x v="0"/>
    <s v="Customer 218"/>
    <x v="0"/>
    <s v="Canada"/>
    <s v="Vancouver"/>
    <s v="British Columbia"/>
    <x v="2"/>
    <x v="0"/>
    <x v="0"/>
    <s v="Product D"/>
    <n v="167.4"/>
    <n v="3"/>
    <n v="66.599999999999994"/>
  </r>
  <r>
    <n v="392"/>
    <d v="2023-12-09T00:00:00"/>
    <x v="5"/>
    <x v="10"/>
    <d v="2023-12-16T00:00:00"/>
    <n v="7"/>
    <x v="3"/>
    <s v="Customer 162"/>
    <x v="0"/>
    <s v="India"/>
    <s v="Delhi"/>
    <s v="Delhi"/>
    <x v="4"/>
    <x v="0"/>
    <x v="1"/>
    <s v="Product C"/>
    <n v="446.46"/>
    <n v="5"/>
    <n v="134.35"/>
  </r>
  <r>
    <n v="393"/>
    <d v="2024-06-06T00:00:00"/>
    <x v="1"/>
    <x v="2"/>
    <d v="2024-06-10T00:00:00"/>
    <n v="4"/>
    <x v="3"/>
    <s v="Customer 280"/>
    <x v="2"/>
    <s v="Canada"/>
    <s v="Vancouver"/>
    <s v="British Columbia"/>
    <x v="2"/>
    <x v="2"/>
    <x v="5"/>
    <s v="Product A"/>
    <n v="36.520000000000003"/>
    <n v="10"/>
    <n v="-9.61"/>
  </r>
  <r>
    <n v="394"/>
    <d v="2024-11-26T00:00:00"/>
    <x v="1"/>
    <x v="11"/>
    <d v="2024-12-05T00:00:00"/>
    <n v="9"/>
    <x v="3"/>
    <s v="Customer 176"/>
    <x v="2"/>
    <s v="USA"/>
    <s v="New York"/>
    <s v="New York"/>
    <x v="0"/>
    <x v="2"/>
    <x v="5"/>
    <s v="Product B"/>
    <n v="198.32"/>
    <n v="10"/>
    <n v="83.89"/>
  </r>
  <r>
    <n v="395"/>
    <d v="2025-03-20T00:00:00"/>
    <x v="0"/>
    <x v="5"/>
    <d v="2025-03-21T00:00:00"/>
    <n v="1"/>
    <x v="2"/>
    <s v="Customer 217"/>
    <x v="2"/>
    <s v="Canada"/>
    <s v="Toronto"/>
    <s v="Ontario"/>
    <x v="0"/>
    <x v="2"/>
    <x v="5"/>
    <s v="Product A"/>
    <n v="281.7"/>
    <n v="3"/>
    <n v="30.26"/>
  </r>
  <r>
    <n v="396"/>
    <d v="2021-12-17T00:00:00"/>
    <x v="4"/>
    <x v="10"/>
    <d v="2021-12-26T00:00:00"/>
    <n v="9"/>
    <x v="1"/>
    <s v="Customer 60"/>
    <x v="2"/>
    <s v="USA"/>
    <s v="Los Angeles"/>
    <s v="California"/>
    <x v="2"/>
    <x v="1"/>
    <x v="2"/>
    <s v="Product D"/>
    <n v="364.59"/>
    <n v="9"/>
    <n v="28.09"/>
  </r>
  <r>
    <n v="397"/>
    <d v="2022-07-23T00:00:00"/>
    <x v="2"/>
    <x v="1"/>
    <d v="2022-07-31T00:00:00"/>
    <n v="8"/>
    <x v="0"/>
    <s v="Customer 29"/>
    <x v="0"/>
    <s v="Canada"/>
    <s v="Vancouver"/>
    <s v="British Columbia"/>
    <x v="2"/>
    <x v="2"/>
    <x v="5"/>
    <s v="Product D"/>
    <n v="186.52"/>
    <n v="7"/>
    <n v="65"/>
  </r>
  <r>
    <n v="398"/>
    <d v="2024-02-11T00:00:00"/>
    <x v="1"/>
    <x v="9"/>
    <d v="2024-02-17T00:00:00"/>
    <n v="6"/>
    <x v="1"/>
    <s v="Customer 35"/>
    <x v="1"/>
    <s v="USA"/>
    <s v="New York"/>
    <s v="New York"/>
    <x v="0"/>
    <x v="2"/>
    <x v="5"/>
    <s v="Product D"/>
    <n v="176.72"/>
    <n v="5"/>
    <n v="-50"/>
  </r>
  <r>
    <n v="399"/>
    <d v="2025-01-07T00:00:00"/>
    <x v="0"/>
    <x v="4"/>
    <d v="2025-01-14T00:00:00"/>
    <n v="7"/>
    <x v="2"/>
    <s v="Customer 47"/>
    <x v="0"/>
    <s v="India"/>
    <s v="Mumbai"/>
    <s v="Maharashtra"/>
    <x v="2"/>
    <x v="1"/>
    <x v="3"/>
    <s v="Product A"/>
    <n v="407.21"/>
    <n v="9"/>
    <n v="-105.39"/>
  </r>
  <r>
    <n v="400"/>
    <d v="2023-04-08T00:00:00"/>
    <x v="5"/>
    <x v="7"/>
    <d v="2023-04-18T00:00:00"/>
    <n v="10"/>
    <x v="0"/>
    <s v="Customer 236"/>
    <x v="2"/>
    <s v="Canada"/>
    <s v="Vancouver"/>
    <s v="British Columbia"/>
    <x v="2"/>
    <x v="2"/>
    <x v="5"/>
    <s v="Product A"/>
    <n v="283.45999999999998"/>
    <n v="7"/>
    <n v="-83.82"/>
  </r>
  <r>
    <n v="401"/>
    <d v="2025-08-23T00:00:00"/>
    <x v="0"/>
    <x v="8"/>
    <d v="2025-08-28T00:00:00"/>
    <n v="5"/>
    <x v="3"/>
    <s v="Customer 34"/>
    <x v="0"/>
    <s v="USA"/>
    <s v="Chicago"/>
    <s v="Illinois"/>
    <x v="3"/>
    <x v="1"/>
    <x v="3"/>
    <s v="Product A"/>
    <n v="120.76"/>
    <n v="7"/>
    <n v="51.35"/>
  </r>
  <r>
    <n v="402"/>
    <d v="2021-06-05T00:00:00"/>
    <x v="4"/>
    <x v="2"/>
    <d v="2021-06-10T00:00:00"/>
    <n v="5"/>
    <x v="0"/>
    <s v="Customer 295"/>
    <x v="0"/>
    <s v="India"/>
    <s v="Mumbai"/>
    <s v="Maharashtra"/>
    <x v="2"/>
    <x v="1"/>
    <x v="2"/>
    <s v="Product C"/>
    <n v="203.74"/>
    <n v="3"/>
    <n v="56.39"/>
  </r>
  <r>
    <n v="403"/>
    <d v="2022-10-07T00:00:00"/>
    <x v="2"/>
    <x v="3"/>
    <d v="2022-10-13T00:00:00"/>
    <n v="6"/>
    <x v="1"/>
    <s v="Customer 207"/>
    <x v="2"/>
    <s v="Canada"/>
    <s v="Vancouver"/>
    <s v="British Columbia"/>
    <x v="2"/>
    <x v="2"/>
    <x v="5"/>
    <s v="Product B"/>
    <n v="174.96"/>
    <n v="5"/>
    <n v="-22.65"/>
  </r>
  <r>
    <n v="404"/>
    <d v="2024-01-13T00:00:00"/>
    <x v="1"/>
    <x v="4"/>
    <d v="2024-01-23T00:00:00"/>
    <n v="10"/>
    <x v="2"/>
    <s v="Customer 110"/>
    <x v="1"/>
    <s v="USA"/>
    <s v="Los Angeles"/>
    <s v="California"/>
    <x v="2"/>
    <x v="1"/>
    <x v="2"/>
    <s v="Product C"/>
    <n v="463.28"/>
    <n v="3"/>
    <n v="36.31"/>
  </r>
  <r>
    <n v="405"/>
    <d v="2025-02-22T00:00:00"/>
    <x v="0"/>
    <x v="9"/>
    <d v="2025-03-02T00:00:00"/>
    <n v="8"/>
    <x v="3"/>
    <s v="Customer 273"/>
    <x v="2"/>
    <s v="India"/>
    <s v="Delhi"/>
    <s v="Delhi"/>
    <x v="4"/>
    <x v="0"/>
    <x v="0"/>
    <s v="Product B"/>
    <n v="135.05000000000001"/>
    <n v="3"/>
    <n v="24.45"/>
  </r>
  <r>
    <n v="406"/>
    <d v="2024-05-24T00:00:00"/>
    <x v="1"/>
    <x v="0"/>
    <d v="2024-05-29T00:00:00"/>
    <n v="5"/>
    <x v="3"/>
    <s v="Customer 123"/>
    <x v="2"/>
    <s v="India"/>
    <s v="Delhi"/>
    <s v="Delhi"/>
    <x v="4"/>
    <x v="1"/>
    <x v="2"/>
    <s v="Product C"/>
    <n v="46"/>
    <n v="9"/>
    <n v="-9.25"/>
  </r>
  <r>
    <n v="407"/>
    <d v="2022-03-29T00:00:00"/>
    <x v="2"/>
    <x v="5"/>
    <d v="2022-03-31T00:00:00"/>
    <n v="2"/>
    <x v="1"/>
    <s v="Customer 84"/>
    <x v="1"/>
    <s v="Canada"/>
    <s v="Toronto"/>
    <s v="Ontario"/>
    <x v="0"/>
    <x v="1"/>
    <x v="2"/>
    <s v="Product C"/>
    <n v="454.69"/>
    <n v="2"/>
    <n v="-116.53"/>
  </r>
  <r>
    <n v="408"/>
    <d v="2022-12-07T00:00:00"/>
    <x v="2"/>
    <x v="10"/>
    <d v="2022-12-13T00:00:00"/>
    <n v="6"/>
    <x v="0"/>
    <s v="Customer 21"/>
    <x v="0"/>
    <s v="Canada"/>
    <s v="Vancouver"/>
    <s v="British Columbia"/>
    <x v="2"/>
    <x v="1"/>
    <x v="3"/>
    <s v="Product B"/>
    <n v="476.88"/>
    <n v="2"/>
    <n v="39.1"/>
  </r>
  <r>
    <n v="409"/>
    <d v="2025-10-03T00:00:00"/>
    <x v="0"/>
    <x v="3"/>
    <d v="2025-10-05T00:00:00"/>
    <n v="2"/>
    <x v="2"/>
    <s v="Customer 152"/>
    <x v="1"/>
    <s v="Canada"/>
    <s v="Vancouver"/>
    <s v="British Columbia"/>
    <x v="2"/>
    <x v="0"/>
    <x v="1"/>
    <s v="Product A"/>
    <n v="327.37"/>
    <n v="10"/>
    <n v="-14.21"/>
  </r>
  <r>
    <n v="410"/>
    <d v="2025-09-11T00:00:00"/>
    <x v="0"/>
    <x v="6"/>
    <d v="2025-09-14T00:00:00"/>
    <n v="3"/>
    <x v="0"/>
    <s v="Customer 154"/>
    <x v="1"/>
    <s v="USA"/>
    <s v="New York"/>
    <s v="New York"/>
    <x v="0"/>
    <x v="2"/>
    <x v="5"/>
    <s v="Product A"/>
    <n v="230.08"/>
    <n v="9"/>
    <n v="110.3"/>
  </r>
  <r>
    <n v="411"/>
    <d v="2022-10-07T00:00:00"/>
    <x v="2"/>
    <x v="3"/>
    <d v="2022-10-10T00:00:00"/>
    <n v="3"/>
    <x v="2"/>
    <s v="Customer 274"/>
    <x v="2"/>
    <s v="Canada"/>
    <s v="Toronto"/>
    <s v="Ontario"/>
    <x v="0"/>
    <x v="1"/>
    <x v="2"/>
    <s v="Product A"/>
    <n v="268.77"/>
    <n v="3"/>
    <n v="98.39"/>
  </r>
  <r>
    <n v="412"/>
    <d v="2022-02-27T00:00:00"/>
    <x v="2"/>
    <x v="9"/>
    <d v="2022-03-08T00:00:00"/>
    <n v="9"/>
    <x v="2"/>
    <s v="Customer 79"/>
    <x v="0"/>
    <s v="Canada"/>
    <s v="Toronto"/>
    <s v="Ontario"/>
    <x v="0"/>
    <x v="0"/>
    <x v="0"/>
    <s v="Product B"/>
    <n v="277.23"/>
    <n v="10"/>
    <n v="-27.03"/>
  </r>
  <r>
    <n v="413"/>
    <d v="2021-04-10T00:00:00"/>
    <x v="4"/>
    <x v="7"/>
    <d v="2021-04-14T00:00:00"/>
    <n v="4"/>
    <x v="0"/>
    <s v="Customer 106"/>
    <x v="1"/>
    <s v="USA"/>
    <s v="Chicago"/>
    <s v="Illinois"/>
    <x v="3"/>
    <x v="0"/>
    <x v="0"/>
    <s v="Product A"/>
    <n v="210.01"/>
    <n v="5"/>
    <n v="-29.28"/>
  </r>
  <r>
    <n v="414"/>
    <d v="2020-11-27T00:00:00"/>
    <x v="3"/>
    <x v="11"/>
    <d v="2020-12-01T00:00:00"/>
    <n v="4"/>
    <x v="3"/>
    <s v="Customer 151"/>
    <x v="2"/>
    <s v="USA"/>
    <s v="Chicago"/>
    <s v="Illinois"/>
    <x v="3"/>
    <x v="0"/>
    <x v="0"/>
    <s v="Product C"/>
    <n v="174.92"/>
    <n v="8"/>
    <n v="57.99"/>
  </r>
  <r>
    <n v="415"/>
    <d v="2025-11-05T00:00:00"/>
    <x v="0"/>
    <x v="11"/>
    <d v="2025-11-13T00:00:00"/>
    <n v="8"/>
    <x v="1"/>
    <s v="Customer 192"/>
    <x v="0"/>
    <s v="Canada"/>
    <s v="Vancouver"/>
    <s v="British Columbia"/>
    <x v="2"/>
    <x v="0"/>
    <x v="0"/>
    <s v="Product C"/>
    <n v="371.43"/>
    <n v="4"/>
    <n v="97.59"/>
  </r>
  <r>
    <n v="416"/>
    <d v="2023-12-25T00:00:00"/>
    <x v="5"/>
    <x v="10"/>
    <d v="2023-12-29T00:00:00"/>
    <n v="4"/>
    <x v="3"/>
    <s v="Customer 35"/>
    <x v="2"/>
    <s v="Canada"/>
    <s v="Montreal"/>
    <s v="Quebec"/>
    <x v="0"/>
    <x v="1"/>
    <x v="2"/>
    <s v="Product B"/>
    <n v="434.55"/>
    <n v="5"/>
    <n v="56.98"/>
  </r>
  <r>
    <n v="417"/>
    <d v="2025-04-15T00:00:00"/>
    <x v="0"/>
    <x v="7"/>
    <d v="2025-04-18T00:00:00"/>
    <n v="3"/>
    <x v="1"/>
    <s v="Customer 2"/>
    <x v="1"/>
    <s v="Canada"/>
    <s v="Toronto"/>
    <s v="Ontario"/>
    <x v="0"/>
    <x v="1"/>
    <x v="3"/>
    <s v="Product A"/>
    <n v="474.96"/>
    <n v="8"/>
    <n v="35.74"/>
  </r>
  <r>
    <n v="418"/>
    <d v="2021-07-03T00:00:00"/>
    <x v="4"/>
    <x v="1"/>
    <d v="2021-07-06T00:00:00"/>
    <n v="3"/>
    <x v="1"/>
    <s v="Customer 36"/>
    <x v="2"/>
    <s v="India"/>
    <s v="Mumbai"/>
    <s v="Maharashtra"/>
    <x v="2"/>
    <x v="2"/>
    <x v="4"/>
    <s v="Product A"/>
    <n v="90.69"/>
    <n v="1"/>
    <n v="27.35"/>
  </r>
  <r>
    <n v="419"/>
    <d v="2020-11-06T00:00:00"/>
    <x v="3"/>
    <x v="11"/>
    <d v="2020-11-15T00:00:00"/>
    <n v="9"/>
    <x v="2"/>
    <s v="Customer 235"/>
    <x v="1"/>
    <s v="India"/>
    <s v="Delhi"/>
    <s v="Delhi"/>
    <x v="4"/>
    <x v="2"/>
    <x v="4"/>
    <s v="Product A"/>
    <n v="265.01"/>
    <n v="1"/>
    <n v="96.35"/>
  </r>
  <r>
    <n v="420"/>
    <d v="2023-01-14T00:00:00"/>
    <x v="5"/>
    <x v="4"/>
    <d v="2023-01-21T00:00:00"/>
    <n v="7"/>
    <x v="2"/>
    <s v="Customer 178"/>
    <x v="2"/>
    <s v="India"/>
    <s v="Delhi"/>
    <s v="Delhi"/>
    <x v="4"/>
    <x v="1"/>
    <x v="3"/>
    <s v="Product C"/>
    <n v="339.31"/>
    <n v="2"/>
    <n v="85.96"/>
  </r>
  <r>
    <n v="421"/>
    <d v="2020-02-18T00:00:00"/>
    <x v="3"/>
    <x v="9"/>
    <d v="2020-02-22T00:00:00"/>
    <n v="4"/>
    <x v="2"/>
    <s v="Customer 194"/>
    <x v="1"/>
    <s v="USA"/>
    <s v="New York"/>
    <s v="New York"/>
    <x v="0"/>
    <x v="0"/>
    <x v="0"/>
    <s v="Product B"/>
    <n v="231.05"/>
    <n v="2"/>
    <n v="77.319999999999993"/>
  </r>
  <r>
    <n v="422"/>
    <d v="2025-12-18T00:00:00"/>
    <x v="0"/>
    <x v="10"/>
    <d v="2025-12-20T00:00:00"/>
    <n v="2"/>
    <x v="2"/>
    <s v="Customer 22"/>
    <x v="0"/>
    <s v="Canada"/>
    <s v="Vancouver"/>
    <s v="British Columbia"/>
    <x v="2"/>
    <x v="0"/>
    <x v="0"/>
    <s v="Product B"/>
    <n v="120.84"/>
    <n v="8"/>
    <n v="-4.3600000000000003"/>
  </r>
  <r>
    <n v="423"/>
    <d v="2024-04-30T00:00:00"/>
    <x v="1"/>
    <x v="7"/>
    <d v="2024-05-09T00:00:00"/>
    <n v="9"/>
    <x v="3"/>
    <s v="Customer 218"/>
    <x v="0"/>
    <s v="Canada"/>
    <s v="Toronto"/>
    <s v="Ontario"/>
    <x v="0"/>
    <x v="1"/>
    <x v="2"/>
    <s v="Product C"/>
    <n v="470.62"/>
    <n v="2"/>
    <n v="37.65"/>
  </r>
  <r>
    <n v="424"/>
    <d v="2025-01-27T00:00:00"/>
    <x v="0"/>
    <x v="4"/>
    <d v="2025-02-06T00:00:00"/>
    <n v="10"/>
    <x v="3"/>
    <s v="Customer 152"/>
    <x v="1"/>
    <s v="India"/>
    <s v="Bangalore"/>
    <s v="Karnataka"/>
    <x v="1"/>
    <x v="2"/>
    <x v="5"/>
    <s v="Product C"/>
    <n v="63.84"/>
    <n v="8"/>
    <n v="-6.31"/>
  </r>
  <r>
    <n v="425"/>
    <d v="2021-08-22T00:00:00"/>
    <x v="4"/>
    <x v="8"/>
    <d v="2021-08-29T00:00:00"/>
    <n v="7"/>
    <x v="2"/>
    <s v="Customer 184"/>
    <x v="1"/>
    <s v="Canada"/>
    <s v="Vancouver"/>
    <s v="British Columbia"/>
    <x v="2"/>
    <x v="0"/>
    <x v="1"/>
    <s v="Product A"/>
    <n v="336.82"/>
    <n v="3"/>
    <n v="157.99"/>
  </r>
  <r>
    <n v="426"/>
    <d v="2025-10-27T00:00:00"/>
    <x v="0"/>
    <x v="3"/>
    <d v="2025-11-02T00:00:00"/>
    <n v="6"/>
    <x v="1"/>
    <s v="Customer 248"/>
    <x v="2"/>
    <s v="India"/>
    <s v="Mumbai"/>
    <s v="Maharashtra"/>
    <x v="2"/>
    <x v="1"/>
    <x v="3"/>
    <s v="Product B"/>
    <n v="217.36"/>
    <n v="10"/>
    <n v="93.99"/>
  </r>
  <r>
    <n v="427"/>
    <d v="2023-05-04T00:00:00"/>
    <x v="5"/>
    <x v="0"/>
    <d v="2023-05-06T00:00:00"/>
    <n v="2"/>
    <x v="2"/>
    <s v="Customer 44"/>
    <x v="0"/>
    <s v="India"/>
    <s v="Delhi"/>
    <s v="Delhi"/>
    <x v="4"/>
    <x v="0"/>
    <x v="1"/>
    <s v="Product C"/>
    <n v="224.2"/>
    <n v="4"/>
    <n v="13.46"/>
  </r>
  <r>
    <n v="428"/>
    <d v="2023-12-11T00:00:00"/>
    <x v="5"/>
    <x v="10"/>
    <d v="2023-12-19T00:00:00"/>
    <n v="8"/>
    <x v="0"/>
    <s v="Customer 55"/>
    <x v="2"/>
    <s v="USA"/>
    <s v="Los Angeles"/>
    <s v="California"/>
    <x v="2"/>
    <x v="2"/>
    <x v="4"/>
    <s v="Product C"/>
    <n v="123.82"/>
    <n v="5"/>
    <n v="-33.82"/>
  </r>
  <r>
    <n v="429"/>
    <d v="2022-11-16T00:00:00"/>
    <x v="2"/>
    <x v="11"/>
    <d v="2022-11-19T00:00:00"/>
    <n v="3"/>
    <x v="3"/>
    <s v="Customer 152"/>
    <x v="1"/>
    <s v="India"/>
    <s v="Delhi"/>
    <s v="Delhi"/>
    <x v="4"/>
    <x v="0"/>
    <x v="1"/>
    <s v="Product C"/>
    <n v="221.99"/>
    <n v="2"/>
    <n v="-61.42"/>
  </r>
  <r>
    <n v="430"/>
    <d v="2024-10-26T00:00:00"/>
    <x v="1"/>
    <x v="3"/>
    <d v="2024-10-27T00:00:00"/>
    <n v="1"/>
    <x v="0"/>
    <s v="Customer 178"/>
    <x v="1"/>
    <s v="India"/>
    <s v="Mumbai"/>
    <s v="Maharashtra"/>
    <x v="2"/>
    <x v="1"/>
    <x v="3"/>
    <s v="Product B"/>
    <n v="147.54"/>
    <n v="7"/>
    <n v="10.1"/>
  </r>
  <r>
    <n v="431"/>
    <d v="2025-02-10T00:00:00"/>
    <x v="0"/>
    <x v="9"/>
    <d v="2025-02-14T00:00:00"/>
    <n v="4"/>
    <x v="1"/>
    <s v="Customer 193"/>
    <x v="2"/>
    <s v="India"/>
    <s v="Delhi"/>
    <s v="Delhi"/>
    <x v="4"/>
    <x v="2"/>
    <x v="5"/>
    <s v="Product A"/>
    <n v="255.78"/>
    <n v="6"/>
    <n v="23.46"/>
  </r>
  <r>
    <n v="432"/>
    <d v="2023-12-01T00:00:00"/>
    <x v="5"/>
    <x v="10"/>
    <d v="2023-12-10T00:00:00"/>
    <n v="9"/>
    <x v="0"/>
    <s v="Customer 256"/>
    <x v="0"/>
    <s v="USA"/>
    <s v="New York"/>
    <s v="New York"/>
    <x v="0"/>
    <x v="0"/>
    <x v="0"/>
    <s v="Product C"/>
    <n v="462.95"/>
    <n v="2"/>
    <n v="123.8"/>
  </r>
  <r>
    <n v="433"/>
    <d v="2020-06-22T00:00:00"/>
    <x v="3"/>
    <x v="2"/>
    <d v="2020-07-02T00:00:00"/>
    <n v="10"/>
    <x v="1"/>
    <s v="Customer 147"/>
    <x v="1"/>
    <s v="India"/>
    <s v="Bangalore"/>
    <s v="Karnataka"/>
    <x v="1"/>
    <x v="0"/>
    <x v="0"/>
    <s v="Product A"/>
    <n v="467.9"/>
    <n v="10"/>
    <n v="-139.94"/>
  </r>
  <r>
    <n v="434"/>
    <d v="2022-10-12T00:00:00"/>
    <x v="2"/>
    <x v="3"/>
    <d v="2022-10-22T00:00:00"/>
    <n v="10"/>
    <x v="1"/>
    <s v="Customer 40"/>
    <x v="0"/>
    <s v="Canada"/>
    <s v="Toronto"/>
    <s v="Ontario"/>
    <x v="0"/>
    <x v="1"/>
    <x v="2"/>
    <s v="Product B"/>
    <n v="428.04"/>
    <n v="1"/>
    <n v="-96.99"/>
  </r>
  <r>
    <n v="435"/>
    <d v="2024-03-21T00:00:00"/>
    <x v="1"/>
    <x v="5"/>
    <d v="2024-03-31T00:00:00"/>
    <n v="10"/>
    <x v="2"/>
    <s v="Customer 260"/>
    <x v="2"/>
    <s v="Canada"/>
    <s v="Vancouver"/>
    <s v="British Columbia"/>
    <x v="2"/>
    <x v="2"/>
    <x v="4"/>
    <s v="Product C"/>
    <n v="133.63999999999999"/>
    <n v="8"/>
    <n v="4.72"/>
  </r>
  <r>
    <n v="436"/>
    <d v="2022-11-10T00:00:00"/>
    <x v="2"/>
    <x v="11"/>
    <d v="2022-11-11T00:00:00"/>
    <n v="1"/>
    <x v="0"/>
    <s v="Customer 100"/>
    <x v="0"/>
    <s v="Canada"/>
    <s v="Montreal"/>
    <s v="Quebec"/>
    <x v="0"/>
    <x v="1"/>
    <x v="2"/>
    <s v="Product A"/>
    <n v="458.58"/>
    <n v="1"/>
    <n v="-16.36"/>
  </r>
  <r>
    <n v="437"/>
    <d v="2020-04-19T00:00:00"/>
    <x v="3"/>
    <x v="7"/>
    <d v="2020-04-27T00:00:00"/>
    <n v="8"/>
    <x v="1"/>
    <s v="Customer 178"/>
    <x v="1"/>
    <s v="Canada"/>
    <s v="Montreal"/>
    <s v="Quebec"/>
    <x v="0"/>
    <x v="0"/>
    <x v="1"/>
    <s v="Product C"/>
    <n v="369.43"/>
    <n v="5"/>
    <n v="40.119999999999997"/>
  </r>
  <r>
    <n v="438"/>
    <d v="2022-02-14T00:00:00"/>
    <x v="2"/>
    <x v="9"/>
    <d v="2022-02-22T00:00:00"/>
    <n v="8"/>
    <x v="1"/>
    <s v="Customer 259"/>
    <x v="0"/>
    <s v="India"/>
    <s v="Mumbai"/>
    <s v="Maharashtra"/>
    <x v="2"/>
    <x v="1"/>
    <x v="3"/>
    <s v="Product C"/>
    <n v="129.80000000000001"/>
    <n v="3"/>
    <n v="-5.95"/>
  </r>
  <r>
    <n v="439"/>
    <d v="2021-03-13T00:00:00"/>
    <x v="4"/>
    <x v="5"/>
    <d v="2021-03-17T00:00:00"/>
    <n v="4"/>
    <x v="0"/>
    <s v="Customer 229"/>
    <x v="0"/>
    <s v="India"/>
    <s v="Bangalore"/>
    <s v="Karnataka"/>
    <x v="1"/>
    <x v="2"/>
    <x v="4"/>
    <s v="Product A"/>
    <n v="350.06"/>
    <n v="7"/>
    <n v="-13.64"/>
  </r>
  <r>
    <n v="440"/>
    <d v="2021-05-03T00:00:00"/>
    <x v="4"/>
    <x v="0"/>
    <d v="2021-05-07T00:00:00"/>
    <n v="4"/>
    <x v="3"/>
    <s v="Customer 192"/>
    <x v="2"/>
    <s v="USA"/>
    <s v="Chicago"/>
    <s v="Illinois"/>
    <x v="3"/>
    <x v="0"/>
    <x v="1"/>
    <s v="Product C"/>
    <n v="480.64"/>
    <n v="3"/>
    <n v="-134.88999999999999"/>
  </r>
  <r>
    <n v="441"/>
    <d v="2022-08-19T00:00:00"/>
    <x v="2"/>
    <x v="8"/>
    <d v="2022-08-25T00:00:00"/>
    <n v="6"/>
    <x v="2"/>
    <s v="Customer 110"/>
    <x v="2"/>
    <s v="USA"/>
    <s v="Chicago"/>
    <s v="Illinois"/>
    <x v="3"/>
    <x v="1"/>
    <x v="3"/>
    <s v="Product C"/>
    <n v="211.87"/>
    <n v="2"/>
    <n v="91.6"/>
  </r>
  <r>
    <n v="442"/>
    <d v="2023-05-08T00:00:00"/>
    <x v="5"/>
    <x v="0"/>
    <d v="2023-05-10T00:00:00"/>
    <n v="2"/>
    <x v="0"/>
    <s v="Customer 263"/>
    <x v="0"/>
    <s v="India"/>
    <s v="Mumbai"/>
    <s v="Maharashtra"/>
    <x v="2"/>
    <x v="2"/>
    <x v="4"/>
    <s v="Product C"/>
    <n v="176.06"/>
    <n v="5"/>
    <n v="-31.6"/>
  </r>
  <r>
    <n v="443"/>
    <d v="2024-07-26T00:00:00"/>
    <x v="1"/>
    <x v="1"/>
    <d v="2024-08-05T00:00:00"/>
    <n v="10"/>
    <x v="3"/>
    <s v="Customer 274"/>
    <x v="2"/>
    <s v="USA"/>
    <s v="New York"/>
    <s v="New York"/>
    <x v="0"/>
    <x v="0"/>
    <x v="1"/>
    <s v="Product C"/>
    <n v="235.24"/>
    <n v="5"/>
    <n v="-26.98"/>
  </r>
  <r>
    <n v="444"/>
    <d v="2025-05-12T00:00:00"/>
    <x v="0"/>
    <x v="0"/>
    <d v="2025-05-15T00:00:00"/>
    <n v="3"/>
    <x v="0"/>
    <s v="Customer 64"/>
    <x v="0"/>
    <s v="USA"/>
    <s v="New York"/>
    <s v="New York"/>
    <x v="0"/>
    <x v="1"/>
    <x v="3"/>
    <s v="Product C"/>
    <n v="55.38"/>
    <n v="3"/>
    <n v="-3.62"/>
  </r>
  <r>
    <n v="445"/>
    <d v="2023-02-12T00:00:00"/>
    <x v="5"/>
    <x v="9"/>
    <d v="2023-02-17T00:00:00"/>
    <n v="5"/>
    <x v="2"/>
    <s v="Customer 39"/>
    <x v="2"/>
    <s v="Canada"/>
    <s v="Montreal"/>
    <s v="Quebec"/>
    <x v="0"/>
    <x v="0"/>
    <x v="1"/>
    <s v="Product C"/>
    <n v="192.4"/>
    <n v="3"/>
    <n v="-14.93"/>
  </r>
  <r>
    <n v="446"/>
    <d v="2024-12-20T00:00:00"/>
    <x v="1"/>
    <x v="10"/>
    <d v="2024-12-22T00:00:00"/>
    <n v="2"/>
    <x v="0"/>
    <s v="Customer 267"/>
    <x v="1"/>
    <s v="USA"/>
    <s v="Los Angeles"/>
    <s v="California"/>
    <x v="2"/>
    <x v="2"/>
    <x v="5"/>
    <s v="Product A"/>
    <n v="77.3"/>
    <n v="8"/>
    <n v="32.770000000000003"/>
  </r>
  <r>
    <n v="447"/>
    <d v="2021-03-22T00:00:00"/>
    <x v="4"/>
    <x v="5"/>
    <d v="2021-03-30T00:00:00"/>
    <n v="8"/>
    <x v="3"/>
    <s v="Customer 220"/>
    <x v="1"/>
    <s v="Canada"/>
    <s v="Toronto"/>
    <s v="Ontario"/>
    <x v="0"/>
    <x v="1"/>
    <x v="2"/>
    <s v="Product D"/>
    <n v="337.45"/>
    <n v="1"/>
    <n v="11.94"/>
  </r>
  <r>
    <n v="448"/>
    <d v="2023-10-21T00:00:00"/>
    <x v="5"/>
    <x v="3"/>
    <d v="2023-10-30T00:00:00"/>
    <n v="9"/>
    <x v="2"/>
    <s v="Customer 299"/>
    <x v="0"/>
    <s v="Canada"/>
    <s v="Vancouver"/>
    <s v="British Columbia"/>
    <x v="2"/>
    <x v="2"/>
    <x v="5"/>
    <s v="Product C"/>
    <n v="440.54"/>
    <n v="1"/>
    <n v="85.59"/>
  </r>
  <r>
    <n v="449"/>
    <d v="2025-11-17T00:00:00"/>
    <x v="0"/>
    <x v="11"/>
    <d v="2025-11-19T00:00:00"/>
    <n v="2"/>
    <x v="1"/>
    <s v="Customer 226"/>
    <x v="2"/>
    <s v="USA"/>
    <s v="New York"/>
    <s v="New York"/>
    <x v="0"/>
    <x v="1"/>
    <x v="3"/>
    <s v="Product C"/>
    <n v="261.99"/>
    <n v="5"/>
    <n v="114"/>
  </r>
  <r>
    <n v="450"/>
    <d v="2021-02-10T00:00:00"/>
    <x v="4"/>
    <x v="9"/>
    <d v="2021-02-17T00:00:00"/>
    <n v="7"/>
    <x v="0"/>
    <s v="Customer 245"/>
    <x v="0"/>
    <s v="Canada"/>
    <s v="Vancouver"/>
    <s v="British Columbia"/>
    <x v="2"/>
    <x v="2"/>
    <x v="4"/>
    <s v="Product C"/>
    <n v="131.72999999999999"/>
    <n v="10"/>
    <n v="-22.62"/>
  </r>
  <r>
    <n v="451"/>
    <d v="2024-11-16T00:00:00"/>
    <x v="1"/>
    <x v="11"/>
    <d v="2024-11-23T00:00:00"/>
    <n v="7"/>
    <x v="2"/>
    <s v="Customer 207"/>
    <x v="2"/>
    <s v="Canada"/>
    <s v="Vancouver"/>
    <s v="British Columbia"/>
    <x v="2"/>
    <x v="2"/>
    <x v="4"/>
    <s v="Product D"/>
    <n v="123.11"/>
    <n v="3"/>
    <n v="-5.58"/>
  </r>
  <r>
    <n v="452"/>
    <d v="2021-11-26T00:00:00"/>
    <x v="4"/>
    <x v="11"/>
    <d v="2021-12-01T00:00:00"/>
    <n v="5"/>
    <x v="3"/>
    <s v="Customer 237"/>
    <x v="2"/>
    <s v="Canada"/>
    <s v="Vancouver"/>
    <s v="British Columbia"/>
    <x v="2"/>
    <x v="0"/>
    <x v="0"/>
    <s v="Product A"/>
    <n v="354.2"/>
    <n v="8"/>
    <n v="-34.49"/>
  </r>
  <r>
    <n v="453"/>
    <d v="2025-01-14T00:00:00"/>
    <x v="0"/>
    <x v="4"/>
    <d v="2025-01-16T00:00:00"/>
    <n v="2"/>
    <x v="3"/>
    <s v="Customer 74"/>
    <x v="1"/>
    <s v="India"/>
    <s v="Mumbai"/>
    <s v="Maharashtra"/>
    <x v="2"/>
    <x v="2"/>
    <x v="5"/>
    <s v="Product A"/>
    <n v="354.63"/>
    <n v="5"/>
    <n v="73.8"/>
  </r>
  <r>
    <n v="454"/>
    <d v="2024-02-11T00:00:00"/>
    <x v="1"/>
    <x v="9"/>
    <d v="2024-02-13T00:00:00"/>
    <n v="2"/>
    <x v="3"/>
    <s v="Customer 194"/>
    <x v="2"/>
    <s v="Canada"/>
    <s v="Montreal"/>
    <s v="Quebec"/>
    <x v="0"/>
    <x v="0"/>
    <x v="1"/>
    <s v="Product B"/>
    <n v="167.94"/>
    <n v="7"/>
    <n v="57.89"/>
  </r>
  <r>
    <n v="455"/>
    <d v="2021-01-10T00:00:00"/>
    <x v="4"/>
    <x v="4"/>
    <d v="2021-01-13T00:00:00"/>
    <n v="3"/>
    <x v="1"/>
    <s v="Customer 140"/>
    <x v="0"/>
    <s v="Canada"/>
    <s v="Toronto"/>
    <s v="Ontario"/>
    <x v="0"/>
    <x v="1"/>
    <x v="3"/>
    <s v="Product A"/>
    <n v="109.6"/>
    <n v="3"/>
    <n v="41.8"/>
  </r>
  <r>
    <n v="456"/>
    <d v="2023-06-28T00:00:00"/>
    <x v="5"/>
    <x v="2"/>
    <d v="2023-07-06T00:00:00"/>
    <n v="8"/>
    <x v="0"/>
    <s v="Customer 117"/>
    <x v="2"/>
    <s v="India"/>
    <s v="Delhi"/>
    <s v="Delhi"/>
    <x v="4"/>
    <x v="0"/>
    <x v="1"/>
    <s v="Product C"/>
    <n v="184.94"/>
    <n v="7"/>
    <n v="29.02"/>
  </r>
  <r>
    <n v="457"/>
    <d v="2021-01-24T00:00:00"/>
    <x v="4"/>
    <x v="4"/>
    <d v="2021-02-03T00:00:00"/>
    <n v="10"/>
    <x v="2"/>
    <s v="Customer 265"/>
    <x v="0"/>
    <s v="Canada"/>
    <s v="Vancouver"/>
    <s v="British Columbia"/>
    <x v="2"/>
    <x v="2"/>
    <x v="4"/>
    <s v="Product A"/>
    <n v="313.43"/>
    <n v="6"/>
    <n v="-29.73"/>
  </r>
  <r>
    <n v="458"/>
    <d v="2022-04-26T00:00:00"/>
    <x v="2"/>
    <x v="7"/>
    <d v="2022-05-05T00:00:00"/>
    <n v="9"/>
    <x v="2"/>
    <s v="Customer 100"/>
    <x v="2"/>
    <s v="Canada"/>
    <s v="Montreal"/>
    <s v="Quebec"/>
    <x v="0"/>
    <x v="0"/>
    <x v="1"/>
    <s v="Product D"/>
    <n v="362.21"/>
    <n v="9"/>
    <n v="72.709999999999994"/>
  </r>
  <r>
    <n v="459"/>
    <d v="2024-09-26T00:00:00"/>
    <x v="1"/>
    <x v="6"/>
    <d v="2024-09-28T00:00:00"/>
    <n v="2"/>
    <x v="1"/>
    <s v="Customer 150"/>
    <x v="0"/>
    <s v="Canada"/>
    <s v="Toronto"/>
    <s v="Ontario"/>
    <x v="0"/>
    <x v="0"/>
    <x v="1"/>
    <s v="Product B"/>
    <n v="245.54"/>
    <n v="10"/>
    <n v="100.56"/>
  </r>
  <r>
    <n v="460"/>
    <d v="2020-05-16T00:00:00"/>
    <x v="3"/>
    <x v="0"/>
    <d v="2020-05-17T00:00:00"/>
    <n v="1"/>
    <x v="2"/>
    <s v="Customer 46"/>
    <x v="1"/>
    <s v="Canada"/>
    <s v="Toronto"/>
    <s v="Ontario"/>
    <x v="0"/>
    <x v="1"/>
    <x v="2"/>
    <s v="Product C"/>
    <n v="43.54"/>
    <n v="7"/>
    <n v="5.83"/>
  </r>
  <r>
    <n v="461"/>
    <d v="2022-04-04T00:00:00"/>
    <x v="2"/>
    <x v="7"/>
    <d v="2022-04-13T00:00:00"/>
    <n v="9"/>
    <x v="1"/>
    <s v="Customer 108"/>
    <x v="0"/>
    <s v="USA"/>
    <s v="Los Angeles"/>
    <s v="California"/>
    <x v="2"/>
    <x v="0"/>
    <x v="0"/>
    <s v="Product C"/>
    <n v="179.97"/>
    <n v="9"/>
    <n v="34.33"/>
  </r>
  <r>
    <n v="462"/>
    <d v="2020-03-26T00:00:00"/>
    <x v="3"/>
    <x v="5"/>
    <d v="2020-03-30T00:00:00"/>
    <n v="4"/>
    <x v="2"/>
    <s v="Customer 262"/>
    <x v="2"/>
    <s v="Canada"/>
    <s v="Vancouver"/>
    <s v="British Columbia"/>
    <x v="2"/>
    <x v="2"/>
    <x v="4"/>
    <s v="Product A"/>
    <n v="220.5"/>
    <n v="10"/>
    <n v="89.97"/>
  </r>
  <r>
    <n v="463"/>
    <d v="2021-11-26T00:00:00"/>
    <x v="4"/>
    <x v="11"/>
    <d v="2021-11-28T00:00:00"/>
    <n v="2"/>
    <x v="0"/>
    <s v="Customer 76"/>
    <x v="1"/>
    <s v="India"/>
    <s v="Bangalore"/>
    <s v="Karnataka"/>
    <x v="1"/>
    <x v="1"/>
    <x v="3"/>
    <s v="Product D"/>
    <n v="50.59"/>
    <n v="3"/>
    <n v="-2.9"/>
  </r>
  <r>
    <n v="464"/>
    <d v="2020-04-12T00:00:00"/>
    <x v="3"/>
    <x v="7"/>
    <d v="2020-04-15T00:00:00"/>
    <n v="3"/>
    <x v="0"/>
    <s v="Customer 5"/>
    <x v="1"/>
    <s v="USA"/>
    <s v="New York"/>
    <s v="New York"/>
    <x v="0"/>
    <x v="0"/>
    <x v="0"/>
    <s v="Product B"/>
    <n v="45.89"/>
    <n v="9"/>
    <n v="10.02"/>
  </r>
  <r>
    <n v="465"/>
    <d v="2022-11-05T00:00:00"/>
    <x v="2"/>
    <x v="11"/>
    <d v="2022-11-15T00:00:00"/>
    <n v="10"/>
    <x v="0"/>
    <s v="Customer 132"/>
    <x v="1"/>
    <s v="USA"/>
    <s v="New York"/>
    <s v="New York"/>
    <x v="0"/>
    <x v="0"/>
    <x v="0"/>
    <s v="Product D"/>
    <n v="301.62"/>
    <n v="4"/>
    <n v="-38.47"/>
  </r>
  <r>
    <n v="466"/>
    <d v="2020-05-03T00:00:00"/>
    <x v="3"/>
    <x v="0"/>
    <d v="2020-05-06T00:00:00"/>
    <n v="3"/>
    <x v="2"/>
    <s v="Customer 112"/>
    <x v="0"/>
    <s v="India"/>
    <s v="Bangalore"/>
    <s v="Karnataka"/>
    <x v="1"/>
    <x v="2"/>
    <x v="5"/>
    <s v="Product A"/>
    <n v="131.33000000000001"/>
    <n v="2"/>
    <n v="39.380000000000003"/>
  </r>
  <r>
    <n v="467"/>
    <d v="2024-01-23T00:00:00"/>
    <x v="1"/>
    <x v="4"/>
    <d v="2024-01-25T00:00:00"/>
    <n v="2"/>
    <x v="3"/>
    <s v="Customer 257"/>
    <x v="2"/>
    <s v="India"/>
    <s v="Delhi"/>
    <s v="Delhi"/>
    <x v="4"/>
    <x v="2"/>
    <x v="4"/>
    <s v="Product B"/>
    <n v="170.38"/>
    <n v="4"/>
    <n v="60.26"/>
  </r>
  <r>
    <n v="468"/>
    <d v="2022-01-01T00:00:00"/>
    <x v="2"/>
    <x v="4"/>
    <d v="2022-01-07T00:00:00"/>
    <n v="6"/>
    <x v="1"/>
    <s v="Customer 46"/>
    <x v="1"/>
    <s v="India"/>
    <s v="Bangalore"/>
    <s v="Karnataka"/>
    <x v="1"/>
    <x v="2"/>
    <x v="4"/>
    <s v="Product A"/>
    <n v="206.1"/>
    <n v="7"/>
    <n v="19.03"/>
  </r>
  <r>
    <n v="469"/>
    <d v="2024-09-27T00:00:00"/>
    <x v="1"/>
    <x v="6"/>
    <d v="2024-09-29T00:00:00"/>
    <n v="2"/>
    <x v="2"/>
    <s v="Customer 8"/>
    <x v="1"/>
    <s v="Canada"/>
    <s v="Montreal"/>
    <s v="Quebec"/>
    <x v="0"/>
    <x v="0"/>
    <x v="0"/>
    <s v="Product D"/>
    <n v="233.12"/>
    <n v="2"/>
    <n v="46.47"/>
  </r>
  <r>
    <n v="470"/>
    <d v="2024-12-27T00:00:00"/>
    <x v="1"/>
    <x v="10"/>
    <d v="2025-01-05T00:00:00"/>
    <n v="9"/>
    <x v="2"/>
    <s v="Customer 207"/>
    <x v="0"/>
    <s v="USA"/>
    <s v="Chicago"/>
    <s v="Illinois"/>
    <x v="3"/>
    <x v="1"/>
    <x v="3"/>
    <s v="Product A"/>
    <n v="51.16"/>
    <n v="2"/>
    <n v="12.46"/>
  </r>
  <r>
    <n v="471"/>
    <d v="2024-04-08T00:00:00"/>
    <x v="1"/>
    <x v="7"/>
    <d v="2024-04-10T00:00:00"/>
    <n v="2"/>
    <x v="0"/>
    <s v="Customer 164"/>
    <x v="1"/>
    <s v="India"/>
    <s v="Mumbai"/>
    <s v="Maharashtra"/>
    <x v="2"/>
    <x v="0"/>
    <x v="0"/>
    <s v="Product B"/>
    <n v="486.63"/>
    <n v="6"/>
    <n v="163.07"/>
  </r>
  <r>
    <n v="472"/>
    <d v="2022-07-23T00:00:00"/>
    <x v="2"/>
    <x v="1"/>
    <d v="2022-07-26T00:00:00"/>
    <n v="3"/>
    <x v="3"/>
    <s v="Customer 262"/>
    <x v="2"/>
    <s v="Canada"/>
    <s v="Montreal"/>
    <s v="Quebec"/>
    <x v="0"/>
    <x v="1"/>
    <x v="3"/>
    <s v="Product A"/>
    <n v="162.03"/>
    <n v="9"/>
    <n v="-22.49"/>
  </r>
  <r>
    <n v="473"/>
    <d v="2022-01-09T00:00:00"/>
    <x v="2"/>
    <x v="4"/>
    <d v="2022-01-17T00:00:00"/>
    <n v="8"/>
    <x v="3"/>
    <s v="Customer 185"/>
    <x v="2"/>
    <s v="USA"/>
    <s v="New York"/>
    <s v="New York"/>
    <x v="0"/>
    <x v="2"/>
    <x v="4"/>
    <s v="Product C"/>
    <n v="163.55000000000001"/>
    <n v="4"/>
    <n v="-13.21"/>
  </r>
  <r>
    <n v="474"/>
    <d v="2021-09-24T00:00:00"/>
    <x v="4"/>
    <x v="6"/>
    <d v="2021-10-04T00:00:00"/>
    <n v="10"/>
    <x v="2"/>
    <s v="Customer 246"/>
    <x v="2"/>
    <s v="USA"/>
    <s v="Chicago"/>
    <s v="Illinois"/>
    <x v="3"/>
    <x v="2"/>
    <x v="4"/>
    <s v="Product B"/>
    <n v="392.69"/>
    <n v="10"/>
    <n v="132.03"/>
  </r>
  <r>
    <n v="475"/>
    <d v="2023-06-14T00:00:00"/>
    <x v="5"/>
    <x v="2"/>
    <d v="2023-06-22T00:00:00"/>
    <n v="8"/>
    <x v="3"/>
    <s v="Customer 76"/>
    <x v="0"/>
    <s v="India"/>
    <s v="Mumbai"/>
    <s v="Maharashtra"/>
    <x v="2"/>
    <x v="2"/>
    <x v="5"/>
    <s v="Product C"/>
    <n v="428.14"/>
    <n v="6"/>
    <n v="-87.54"/>
  </r>
  <r>
    <n v="476"/>
    <d v="2025-09-07T00:00:00"/>
    <x v="0"/>
    <x v="6"/>
    <d v="2025-09-11T00:00:00"/>
    <n v="4"/>
    <x v="0"/>
    <s v="Customer 271"/>
    <x v="0"/>
    <s v="India"/>
    <s v="Bangalore"/>
    <s v="Karnataka"/>
    <x v="1"/>
    <x v="2"/>
    <x v="5"/>
    <s v="Product C"/>
    <n v="83.47"/>
    <n v="7"/>
    <n v="8.24"/>
  </r>
  <r>
    <n v="477"/>
    <d v="2025-05-30T00:00:00"/>
    <x v="0"/>
    <x v="0"/>
    <d v="2025-06-01T00:00:00"/>
    <n v="2"/>
    <x v="3"/>
    <s v="Customer 239"/>
    <x v="1"/>
    <s v="India"/>
    <s v="Bangalore"/>
    <s v="Karnataka"/>
    <x v="1"/>
    <x v="2"/>
    <x v="5"/>
    <s v="Product A"/>
    <n v="144.27000000000001"/>
    <n v="1"/>
    <n v="-19.920000000000002"/>
  </r>
  <r>
    <n v="478"/>
    <d v="2024-04-15T00:00:00"/>
    <x v="1"/>
    <x v="7"/>
    <d v="2024-04-25T00:00:00"/>
    <n v="10"/>
    <x v="2"/>
    <s v="Customer 2"/>
    <x v="2"/>
    <s v="Canada"/>
    <s v="Toronto"/>
    <s v="Ontario"/>
    <x v="0"/>
    <x v="2"/>
    <x v="5"/>
    <s v="Product A"/>
    <n v="179.41"/>
    <n v="3"/>
    <n v="21.74"/>
  </r>
  <r>
    <n v="479"/>
    <d v="2021-08-26T00:00:00"/>
    <x v="4"/>
    <x v="8"/>
    <d v="2021-09-05T00:00:00"/>
    <n v="10"/>
    <x v="0"/>
    <s v="Customer 77"/>
    <x v="0"/>
    <s v="India"/>
    <s v="Delhi"/>
    <s v="Delhi"/>
    <x v="4"/>
    <x v="0"/>
    <x v="0"/>
    <s v="Product B"/>
    <n v="232.7"/>
    <n v="4"/>
    <n v="71.81"/>
  </r>
  <r>
    <n v="480"/>
    <d v="2021-12-15T00:00:00"/>
    <x v="4"/>
    <x v="10"/>
    <d v="2021-12-21T00:00:00"/>
    <n v="6"/>
    <x v="2"/>
    <s v="Customer 222"/>
    <x v="0"/>
    <s v="India"/>
    <s v="Delhi"/>
    <s v="Delhi"/>
    <x v="4"/>
    <x v="2"/>
    <x v="4"/>
    <s v="Product B"/>
    <n v="117.58"/>
    <n v="10"/>
    <n v="-13.38"/>
  </r>
  <r>
    <n v="481"/>
    <d v="2025-03-31T00:00:00"/>
    <x v="0"/>
    <x v="5"/>
    <d v="2025-04-01T00:00:00"/>
    <n v="1"/>
    <x v="0"/>
    <s v="Customer 110"/>
    <x v="1"/>
    <s v="India"/>
    <s v="Bangalore"/>
    <s v="Karnataka"/>
    <x v="1"/>
    <x v="1"/>
    <x v="2"/>
    <s v="Product A"/>
    <n v="187.74"/>
    <n v="4"/>
    <n v="35.630000000000003"/>
  </r>
  <r>
    <n v="482"/>
    <d v="2022-02-17T00:00:00"/>
    <x v="2"/>
    <x v="9"/>
    <d v="2022-02-23T00:00:00"/>
    <n v="6"/>
    <x v="2"/>
    <s v="Customer 224"/>
    <x v="2"/>
    <s v="Canada"/>
    <s v="Toronto"/>
    <s v="Ontario"/>
    <x v="0"/>
    <x v="2"/>
    <x v="4"/>
    <s v="Product D"/>
    <n v="400.87"/>
    <n v="8"/>
    <n v="-108.63"/>
  </r>
  <r>
    <n v="483"/>
    <d v="2025-12-17T00:00:00"/>
    <x v="0"/>
    <x v="10"/>
    <d v="2025-12-26T00:00:00"/>
    <n v="9"/>
    <x v="1"/>
    <s v="Customer 70"/>
    <x v="2"/>
    <s v="USA"/>
    <s v="Los Angeles"/>
    <s v="California"/>
    <x v="2"/>
    <x v="1"/>
    <x v="2"/>
    <s v="Product D"/>
    <n v="163.66999999999999"/>
    <n v="1"/>
    <n v="-34.92"/>
  </r>
  <r>
    <n v="484"/>
    <d v="2025-02-18T00:00:00"/>
    <x v="0"/>
    <x v="9"/>
    <d v="2025-02-27T00:00:00"/>
    <n v="9"/>
    <x v="3"/>
    <s v="Customer 150"/>
    <x v="2"/>
    <s v="Canada"/>
    <s v="Toronto"/>
    <s v="Ontario"/>
    <x v="0"/>
    <x v="2"/>
    <x v="5"/>
    <s v="Product B"/>
    <n v="479.73"/>
    <n v="9"/>
    <n v="152.1"/>
  </r>
  <r>
    <n v="485"/>
    <d v="2020-11-08T00:00:00"/>
    <x v="3"/>
    <x v="11"/>
    <d v="2020-11-09T00:00:00"/>
    <n v="1"/>
    <x v="1"/>
    <s v="Customer 39"/>
    <x v="0"/>
    <s v="USA"/>
    <s v="New York"/>
    <s v="New York"/>
    <x v="0"/>
    <x v="0"/>
    <x v="0"/>
    <s v="Product C"/>
    <n v="55.15"/>
    <n v="10"/>
    <n v="3.56"/>
  </r>
  <r>
    <n v="486"/>
    <d v="2021-12-19T00:00:00"/>
    <x v="4"/>
    <x v="10"/>
    <d v="2021-12-20T00:00:00"/>
    <n v="1"/>
    <x v="2"/>
    <s v="Customer 44"/>
    <x v="1"/>
    <s v="Canada"/>
    <s v="Toronto"/>
    <s v="Ontario"/>
    <x v="0"/>
    <x v="2"/>
    <x v="4"/>
    <s v="Product A"/>
    <n v="141.04"/>
    <n v="5"/>
    <n v="-23.77"/>
  </r>
  <r>
    <n v="487"/>
    <d v="2024-01-23T00:00:00"/>
    <x v="1"/>
    <x v="4"/>
    <d v="2024-01-26T00:00:00"/>
    <n v="3"/>
    <x v="2"/>
    <s v="Customer 24"/>
    <x v="0"/>
    <s v="India"/>
    <s v="Delhi"/>
    <s v="Delhi"/>
    <x v="4"/>
    <x v="2"/>
    <x v="5"/>
    <s v="Product D"/>
    <n v="54.26"/>
    <n v="8"/>
    <n v="2.2799999999999998"/>
  </r>
  <r>
    <n v="488"/>
    <d v="2024-03-01T00:00:00"/>
    <x v="1"/>
    <x v="5"/>
    <d v="2024-03-09T00:00:00"/>
    <n v="8"/>
    <x v="1"/>
    <s v="Customer 150"/>
    <x v="2"/>
    <s v="India"/>
    <s v="Mumbai"/>
    <s v="Maharashtra"/>
    <x v="2"/>
    <x v="0"/>
    <x v="1"/>
    <s v="Product D"/>
    <n v="104.18"/>
    <n v="3"/>
    <n v="-4.59"/>
  </r>
  <r>
    <n v="489"/>
    <d v="2023-05-03T00:00:00"/>
    <x v="5"/>
    <x v="0"/>
    <d v="2023-05-04T00:00:00"/>
    <n v="1"/>
    <x v="2"/>
    <s v="Customer 189"/>
    <x v="1"/>
    <s v="India"/>
    <s v="Mumbai"/>
    <s v="Maharashtra"/>
    <x v="2"/>
    <x v="0"/>
    <x v="1"/>
    <s v="Product C"/>
    <n v="311.52"/>
    <n v="3"/>
    <n v="105.25"/>
  </r>
  <r>
    <n v="490"/>
    <d v="2024-05-28T00:00:00"/>
    <x v="1"/>
    <x v="0"/>
    <d v="2024-06-03T00:00:00"/>
    <n v="6"/>
    <x v="1"/>
    <s v="Customer 29"/>
    <x v="1"/>
    <s v="USA"/>
    <s v="Los Angeles"/>
    <s v="California"/>
    <x v="2"/>
    <x v="1"/>
    <x v="3"/>
    <s v="Product B"/>
    <n v="49.92"/>
    <n v="2"/>
    <n v="-7.81"/>
  </r>
  <r>
    <n v="491"/>
    <d v="2022-07-09T00:00:00"/>
    <x v="2"/>
    <x v="1"/>
    <d v="2022-07-12T00:00:00"/>
    <n v="3"/>
    <x v="2"/>
    <s v="Customer 156"/>
    <x v="1"/>
    <s v="India"/>
    <s v="Delhi"/>
    <s v="Delhi"/>
    <x v="4"/>
    <x v="1"/>
    <x v="3"/>
    <s v="Product B"/>
    <n v="275.89999999999998"/>
    <n v="6"/>
    <n v="68.33"/>
  </r>
  <r>
    <n v="492"/>
    <d v="2023-07-02T00:00:00"/>
    <x v="5"/>
    <x v="1"/>
    <d v="2023-07-08T00:00:00"/>
    <n v="6"/>
    <x v="3"/>
    <s v="Customer 145"/>
    <x v="1"/>
    <s v="USA"/>
    <s v="New York"/>
    <s v="New York"/>
    <x v="0"/>
    <x v="0"/>
    <x v="0"/>
    <s v="Product B"/>
    <n v="255.58"/>
    <n v="8"/>
    <n v="-35.76"/>
  </r>
  <r>
    <n v="493"/>
    <d v="2025-11-10T00:00:00"/>
    <x v="0"/>
    <x v="11"/>
    <d v="2025-11-15T00:00:00"/>
    <n v="5"/>
    <x v="3"/>
    <s v="Customer 111"/>
    <x v="0"/>
    <s v="USA"/>
    <s v="Chicago"/>
    <s v="Illinois"/>
    <x v="3"/>
    <x v="0"/>
    <x v="1"/>
    <s v="Product C"/>
    <n v="376.4"/>
    <n v="2"/>
    <n v="-81.64"/>
  </r>
  <r>
    <n v="494"/>
    <d v="2022-01-15T00:00:00"/>
    <x v="2"/>
    <x v="4"/>
    <d v="2022-01-19T00:00:00"/>
    <n v="4"/>
    <x v="3"/>
    <s v="Customer 78"/>
    <x v="0"/>
    <s v="India"/>
    <s v="Mumbai"/>
    <s v="Maharashtra"/>
    <x v="2"/>
    <x v="1"/>
    <x v="3"/>
    <s v="Product D"/>
    <n v="260.76"/>
    <n v="8"/>
    <n v="128.97"/>
  </r>
  <r>
    <n v="495"/>
    <d v="2023-01-16T00:00:00"/>
    <x v="5"/>
    <x v="4"/>
    <d v="2023-01-26T00:00:00"/>
    <n v="10"/>
    <x v="0"/>
    <s v="Customer 127"/>
    <x v="0"/>
    <s v="India"/>
    <s v="Bangalore"/>
    <s v="Karnataka"/>
    <x v="1"/>
    <x v="0"/>
    <x v="1"/>
    <s v="Product C"/>
    <n v="74.73"/>
    <n v="9"/>
    <n v="33.21"/>
  </r>
  <r>
    <n v="496"/>
    <d v="2022-02-04T00:00:00"/>
    <x v="2"/>
    <x v="9"/>
    <d v="2022-02-11T00:00:00"/>
    <n v="7"/>
    <x v="2"/>
    <s v="Customer 61"/>
    <x v="2"/>
    <s v="Canada"/>
    <s v="Vancouver"/>
    <s v="British Columbia"/>
    <x v="2"/>
    <x v="0"/>
    <x v="1"/>
    <s v="Product C"/>
    <n v="474.79"/>
    <n v="10"/>
    <n v="-60.41"/>
  </r>
  <r>
    <n v="497"/>
    <d v="2023-01-14T00:00:00"/>
    <x v="5"/>
    <x v="4"/>
    <d v="2023-01-21T00:00:00"/>
    <n v="7"/>
    <x v="1"/>
    <s v="Customer 59"/>
    <x v="0"/>
    <s v="India"/>
    <s v="Mumbai"/>
    <s v="Maharashtra"/>
    <x v="2"/>
    <x v="1"/>
    <x v="3"/>
    <s v="Product C"/>
    <n v="275.31"/>
    <n v="1"/>
    <n v="105.88"/>
  </r>
  <r>
    <n v="498"/>
    <d v="2021-05-02T00:00:00"/>
    <x v="4"/>
    <x v="0"/>
    <d v="2021-05-11T00:00:00"/>
    <n v="9"/>
    <x v="3"/>
    <s v="Customer 249"/>
    <x v="1"/>
    <s v="India"/>
    <s v="Delhi"/>
    <s v="Delhi"/>
    <x v="4"/>
    <x v="0"/>
    <x v="1"/>
    <s v="Product D"/>
    <n v="226.24"/>
    <n v="7"/>
    <n v="-5.0599999999999996"/>
  </r>
  <r>
    <n v="499"/>
    <d v="2024-03-04T00:00:00"/>
    <x v="1"/>
    <x v="5"/>
    <d v="2024-03-07T00:00:00"/>
    <n v="3"/>
    <x v="3"/>
    <s v="Customer 282"/>
    <x v="0"/>
    <s v="India"/>
    <s v="Mumbai"/>
    <s v="Maharashtra"/>
    <x v="2"/>
    <x v="1"/>
    <x v="3"/>
    <s v="Product D"/>
    <n v="103.85"/>
    <n v="9"/>
    <n v="29.33"/>
  </r>
  <r>
    <n v="500"/>
    <d v="2021-03-04T00:00:00"/>
    <x v="4"/>
    <x v="5"/>
    <d v="2021-03-10T00:00:00"/>
    <n v="6"/>
    <x v="2"/>
    <s v="Customer 74"/>
    <x v="0"/>
    <s v="Canada"/>
    <s v="Vancouver"/>
    <s v="British Columbia"/>
    <x v="2"/>
    <x v="0"/>
    <x v="0"/>
    <s v="Product C"/>
    <n v="30.79"/>
    <n v="6"/>
    <n v="2.57"/>
  </r>
  <r>
    <n v="501"/>
    <d v="2022-06-24T00:00:00"/>
    <x v="2"/>
    <x v="2"/>
    <d v="2022-07-03T00:00:00"/>
    <n v="9"/>
    <x v="1"/>
    <s v="Customer 215"/>
    <x v="2"/>
    <s v="USA"/>
    <s v="New York"/>
    <s v="New York"/>
    <x v="0"/>
    <x v="0"/>
    <x v="0"/>
    <s v="Product C"/>
    <n v="131.78"/>
    <n v="1"/>
    <n v="6.33"/>
  </r>
  <r>
    <n v="502"/>
    <d v="2025-10-20T00:00:00"/>
    <x v="0"/>
    <x v="3"/>
    <d v="2025-10-29T00:00:00"/>
    <n v="9"/>
    <x v="2"/>
    <s v="Customer 239"/>
    <x v="1"/>
    <s v="Canada"/>
    <s v="Vancouver"/>
    <s v="British Columbia"/>
    <x v="2"/>
    <x v="1"/>
    <x v="3"/>
    <s v="Product A"/>
    <n v="212.88"/>
    <n v="5"/>
    <n v="-1.23"/>
  </r>
  <r>
    <n v="503"/>
    <d v="2025-04-05T00:00:00"/>
    <x v="0"/>
    <x v="7"/>
    <d v="2025-04-13T00:00:00"/>
    <n v="8"/>
    <x v="3"/>
    <s v="Customer 59"/>
    <x v="2"/>
    <s v="Canada"/>
    <s v="Toronto"/>
    <s v="Ontario"/>
    <x v="0"/>
    <x v="0"/>
    <x v="0"/>
    <s v="Product B"/>
    <n v="281.33"/>
    <n v="8"/>
    <n v="-1.35"/>
  </r>
  <r>
    <n v="504"/>
    <d v="2020-01-14T00:00:00"/>
    <x v="3"/>
    <x v="4"/>
    <d v="2020-01-19T00:00:00"/>
    <n v="5"/>
    <x v="1"/>
    <s v="Customer 213"/>
    <x v="0"/>
    <s v="India"/>
    <s v="Bangalore"/>
    <s v="Karnataka"/>
    <x v="1"/>
    <x v="0"/>
    <x v="1"/>
    <s v="Product B"/>
    <n v="255.99"/>
    <n v="10"/>
    <n v="68.64"/>
  </r>
  <r>
    <n v="505"/>
    <d v="2023-08-09T00:00:00"/>
    <x v="5"/>
    <x v="8"/>
    <d v="2023-08-18T00:00:00"/>
    <n v="9"/>
    <x v="2"/>
    <s v="Customer 25"/>
    <x v="0"/>
    <s v="Canada"/>
    <s v="Vancouver"/>
    <s v="British Columbia"/>
    <x v="2"/>
    <x v="2"/>
    <x v="4"/>
    <s v="Product C"/>
    <n v="465.97"/>
    <n v="6"/>
    <n v="-2.88"/>
  </r>
  <r>
    <n v="506"/>
    <d v="2023-09-17T00:00:00"/>
    <x v="5"/>
    <x v="6"/>
    <d v="2023-09-23T00:00:00"/>
    <n v="6"/>
    <x v="3"/>
    <s v="Customer 68"/>
    <x v="1"/>
    <s v="Canada"/>
    <s v="Toronto"/>
    <s v="Ontario"/>
    <x v="0"/>
    <x v="1"/>
    <x v="3"/>
    <s v="Product B"/>
    <n v="247.6"/>
    <n v="6"/>
    <n v="-66.52"/>
  </r>
  <r>
    <n v="507"/>
    <d v="2022-06-01T00:00:00"/>
    <x v="2"/>
    <x v="2"/>
    <d v="2022-06-05T00:00:00"/>
    <n v="4"/>
    <x v="1"/>
    <s v="Customer 210"/>
    <x v="2"/>
    <s v="India"/>
    <s v="Delhi"/>
    <s v="Delhi"/>
    <x v="4"/>
    <x v="2"/>
    <x v="4"/>
    <s v="Product C"/>
    <n v="360.39"/>
    <n v="5"/>
    <n v="-61.51"/>
  </r>
  <r>
    <n v="508"/>
    <d v="2020-09-27T00:00:00"/>
    <x v="3"/>
    <x v="6"/>
    <d v="2020-10-07T00:00:00"/>
    <n v="10"/>
    <x v="0"/>
    <s v="Customer 205"/>
    <x v="0"/>
    <s v="Canada"/>
    <s v="Montreal"/>
    <s v="Quebec"/>
    <x v="0"/>
    <x v="0"/>
    <x v="1"/>
    <s v="Product C"/>
    <n v="81.09"/>
    <n v="7"/>
    <n v="9.76"/>
  </r>
  <r>
    <n v="509"/>
    <d v="2022-10-24T00:00:00"/>
    <x v="2"/>
    <x v="3"/>
    <d v="2022-10-30T00:00:00"/>
    <n v="6"/>
    <x v="0"/>
    <s v="Customer 56"/>
    <x v="0"/>
    <s v="Canada"/>
    <s v="Toronto"/>
    <s v="Ontario"/>
    <x v="0"/>
    <x v="2"/>
    <x v="4"/>
    <s v="Product D"/>
    <n v="97.17"/>
    <n v="1"/>
    <n v="29.95"/>
  </r>
  <r>
    <n v="510"/>
    <d v="2021-02-17T00:00:00"/>
    <x v="4"/>
    <x v="9"/>
    <d v="2021-02-24T00:00:00"/>
    <n v="7"/>
    <x v="1"/>
    <s v="Customer 85"/>
    <x v="0"/>
    <s v="Canada"/>
    <s v="Montreal"/>
    <s v="Quebec"/>
    <x v="0"/>
    <x v="0"/>
    <x v="0"/>
    <s v="Product A"/>
    <n v="136.79"/>
    <n v="5"/>
    <n v="12.37"/>
  </r>
  <r>
    <n v="511"/>
    <d v="2021-02-04T00:00:00"/>
    <x v="4"/>
    <x v="9"/>
    <d v="2021-02-05T00:00:00"/>
    <n v="1"/>
    <x v="1"/>
    <s v="Customer 82"/>
    <x v="0"/>
    <s v="India"/>
    <s v="Delhi"/>
    <s v="Delhi"/>
    <x v="4"/>
    <x v="0"/>
    <x v="0"/>
    <s v="Product C"/>
    <n v="116.55"/>
    <n v="1"/>
    <n v="-2.4300000000000002"/>
  </r>
  <r>
    <n v="512"/>
    <d v="2023-06-25T00:00:00"/>
    <x v="5"/>
    <x v="2"/>
    <d v="2023-07-03T00:00:00"/>
    <n v="8"/>
    <x v="2"/>
    <s v="Customer 111"/>
    <x v="1"/>
    <s v="Canada"/>
    <s v="Vancouver"/>
    <s v="British Columbia"/>
    <x v="2"/>
    <x v="1"/>
    <x v="3"/>
    <s v="Product D"/>
    <n v="21.39"/>
    <n v="9"/>
    <n v="8.19"/>
  </r>
  <r>
    <n v="513"/>
    <d v="2024-05-16T00:00:00"/>
    <x v="1"/>
    <x v="0"/>
    <d v="2024-05-21T00:00:00"/>
    <n v="5"/>
    <x v="0"/>
    <s v="Customer 74"/>
    <x v="2"/>
    <s v="USA"/>
    <s v="Chicago"/>
    <s v="Illinois"/>
    <x v="3"/>
    <x v="2"/>
    <x v="4"/>
    <s v="Product A"/>
    <n v="224.44"/>
    <n v="9"/>
    <n v="29.95"/>
  </r>
  <r>
    <n v="514"/>
    <d v="2024-04-05T00:00:00"/>
    <x v="1"/>
    <x v="7"/>
    <d v="2024-04-06T00:00:00"/>
    <n v="1"/>
    <x v="2"/>
    <s v="Customer 95"/>
    <x v="0"/>
    <s v="Canada"/>
    <s v="Montreal"/>
    <s v="Quebec"/>
    <x v="0"/>
    <x v="1"/>
    <x v="3"/>
    <s v="Product A"/>
    <n v="273.10000000000002"/>
    <n v="7"/>
    <n v="-36.619999999999997"/>
  </r>
  <r>
    <n v="515"/>
    <d v="2025-01-14T00:00:00"/>
    <x v="0"/>
    <x v="4"/>
    <d v="2025-01-24T00:00:00"/>
    <n v="10"/>
    <x v="2"/>
    <s v="Customer 96"/>
    <x v="2"/>
    <s v="USA"/>
    <s v="Los Angeles"/>
    <s v="California"/>
    <x v="2"/>
    <x v="0"/>
    <x v="0"/>
    <s v="Product C"/>
    <n v="324.60000000000002"/>
    <n v="7"/>
    <n v="93.78"/>
  </r>
  <r>
    <n v="516"/>
    <d v="2024-06-10T00:00:00"/>
    <x v="1"/>
    <x v="2"/>
    <d v="2024-06-12T00:00:00"/>
    <n v="2"/>
    <x v="1"/>
    <s v="Customer 290"/>
    <x v="0"/>
    <s v="India"/>
    <s v="Delhi"/>
    <s v="Delhi"/>
    <x v="4"/>
    <x v="1"/>
    <x v="3"/>
    <s v="Product B"/>
    <n v="348.11"/>
    <n v="8"/>
    <n v="76.95"/>
  </r>
  <r>
    <n v="517"/>
    <d v="2021-02-12T00:00:00"/>
    <x v="4"/>
    <x v="9"/>
    <d v="2021-02-20T00:00:00"/>
    <n v="8"/>
    <x v="0"/>
    <s v="Customer 6"/>
    <x v="0"/>
    <s v="India"/>
    <s v="Delhi"/>
    <s v="Delhi"/>
    <x v="4"/>
    <x v="1"/>
    <x v="3"/>
    <s v="Product B"/>
    <n v="173.24"/>
    <n v="9"/>
    <n v="40.25"/>
  </r>
  <r>
    <n v="518"/>
    <d v="2025-01-06T00:00:00"/>
    <x v="0"/>
    <x v="4"/>
    <d v="2025-01-13T00:00:00"/>
    <n v="7"/>
    <x v="2"/>
    <s v="Customer 136"/>
    <x v="2"/>
    <s v="India"/>
    <s v="Bangalore"/>
    <s v="Karnataka"/>
    <x v="1"/>
    <x v="2"/>
    <x v="5"/>
    <s v="Product B"/>
    <n v="413.52"/>
    <n v="2"/>
    <n v="64.05"/>
  </r>
  <r>
    <n v="519"/>
    <d v="2020-01-26T00:00:00"/>
    <x v="3"/>
    <x v="4"/>
    <d v="2020-02-05T00:00:00"/>
    <n v="10"/>
    <x v="1"/>
    <s v="Customer 64"/>
    <x v="1"/>
    <s v="India"/>
    <s v="Bangalore"/>
    <s v="Karnataka"/>
    <x v="1"/>
    <x v="1"/>
    <x v="2"/>
    <s v="Product C"/>
    <n v="468.29"/>
    <n v="8"/>
    <n v="152.13999999999999"/>
  </r>
  <r>
    <n v="520"/>
    <d v="2022-11-23T00:00:00"/>
    <x v="2"/>
    <x v="11"/>
    <d v="2022-11-30T00:00:00"/>
    <n v="7"/>
    <x v="0"/>
    <s v="Customer 192"/>
    <x v="2"/>
    <s v="India"/>
    <s v="Mumbai"/>
    <s v="Maharashtra"/>
    <x v="2"/>
    <x v="0"/>
    <x v="1"/>
    <s v="Product A"/>
    <n v="21.5"/>
    <n v="2"/>
    <n v="-5.75"/>
  </r>
  <r>
    <n v="521"/>
    <d v="2020-12-18T00:00:00"/>
    <x v="3"/>
    <x v="10"/>
    <d v="2020-12-21T00:00:00"/>
    <n v="3"/>
    <x v="1"/>
    <s v="Customer 149"/>
    <x v="0"/>
    <s v="India"/>
    <s v="Bangalore"/>
    <s v="Karnataka"/>
    <x v="1"/>
    <x v="1"/>
    <x v="2"/>
    <s v="Product B"/>
    <n v="261.38"/>
    <n v="8"/>
    <n v="-65.09"/>
  </r>
  <r>
    <n v="522"/>
    <d v="2023-02-27T00:00:00"/>
    <x v="5"/>
    <x v="9"/>
    <d v="2023-03-04T00:00:00"/>
    <n v="5"/>
    <x v="1"/>
    <s v="Customer 122"/>
    <x v="0"/>
    <s v="USA"/>
    <s v="Los Angeles"/>
    <s v="California"/>
    <x v="2"/>
    <x v="2"/>
    <x v="4"/>
    <s v="Product C"/>
    <n v="241.02"/>
    <n v="7"/>
    <n v="108.5"/>
  </r>
  <r>
    <n v="523"/>
    <d v="2025-04-30T00:00:00"/>
    <x v="0"/>
    <x v="7"/>
    <d v="2025-05-08T00:00:00"/>
    <n v="8"/>
    <x v="2"/>
    <s v="Customer 184"/>
    <x v="1"/>
    <s v="India"/>
    <s v="Bangalore"/>
    <s v="Karnataka"/>
    <x v="1"/>
    <x v="1"/>
    <x v="2"/>
    <s v="Product D"/>
    <n v="22.93"/>
    <n v="8"/>
    <n v="-1.23"/>
  </r>
  <r>
    <n v="524"/>
    <d v="2022-09-16T00:00:00"/>
    <x v="2"/>
    <x v="6"/>
    <d v="2022-09-20T00:00:00"/>
    <n v="4"/>
    <x v="2"/>
    <s v="Customer 45"/>
    <x v="1"/>
    <s v="India"/>
    <s v="Bangalore"/>
    <s v="Karnataka"/>
    <x v="1"/>
    <x v="0"/>
    <x v="1"/>
    <s v="Product D"/>
    <n v="150.35"/>
    <n v="8"/>
    <n v="-12.44"/>
  </r>
  <r>
    <n v="525"/>
    <d v="2023-03-01T00:00:00"/>
    <x v="5"/>
    <x v="5"/>
    <d v="2023-03-04T00:00:00"/>
    <n v="3"/>
    <x v="2"/>
    <s v="Customer 148"/>
    <x v="0"/>
    <s v="India"/>
    <s v="Bangalore"/>
    <s v="Karnataka"/>
    <x v="1"/>
    <x v="0"/>
    <x v="1"/>
    <s v="Product C"/>
    <n v="55.02"/>
    <n v="1"/>
    <n v="26.96"/>
  </r>
  <r>
    <n v="526"/>
    <d v="2022-11-27T00:00:00"/>
    <x v="2"/>
    <x v="11"/>
    <d v="2022-11-30T00:00:00"/>
    <n v="3"/>
    <x v="2"/>
    <s v="Customer 95"/>
    <x v="0"/>
    <s v="USA"/>
    <s v="Los Angeles"/>
    <s v="California"/>
    <x v="2"/>
    <x v="1"/>
    <x v="2"/>
    <s v="Product C"/>
    <n v="135.85"/>
    <n v="10"/>
    <n v="-27.61"/>
  </r>
  <r>
    <n v="527"/>
    <d v="2025-02-28T00:00:00"/>
    <x v="0"/>
    <x v="9"/>
    <d v="2025-03-07T00:00:00"/>
    <n v="7"/>
    <x v="1"/>
    <s v="Customer 241"/>
    <x v="0"/>
    <s v="USA"/>
    <s v="Los Angeles"/>
    <s v="California"/>
    <x v="2"/>
    <x v="0"/>
    <x v="0"/>
    <s v="Product D"/>
    <n v="155.5"/>
    <n v="5"/>
    <n v="41.81"/>
  </r>
  <r>
    <n v="528"/>
    <d v="2021-06-13T00:00:00"/>
    <x v="4"/>
    <x v="2"/>
    <d v="2021-06-15T00:00:00"/>
    <n v="2"/>
    <x v="3"/>
    <s v="Customer 40"/>
    <x v="2"/>
    <s v="USA"/>
    <s v="Chicago"/>
    <s v="Illinois"/>
    <x v="3"/>
    <x v="1"/>
    <x v="3"/>
    <s v="Product D"/>
    <n v="303.85000000000002"/>
    <n v="3"/>
    <n v="122.87"/>
  </r>
  <r>
    <n v="529"/>
    <d v="2021-10-03T00:00:00"/>
    <x v="4"/>
    <x v="3"/>
    <d v="2021-10-07T00:00:00"/>
    <n v="4"/>
    <x v="2"/>
    <s v="Customer 39"/>
    <x v="0"/>
    <s v="Canada"/>
    <s v="Montreal"/>
    <s v="Quebec"/>
    <x v="0"/>
    <x v="1"/>
    <x v="2"/>
    <s v="Product B"/>
    <n v="177.2"/>
    <n v="1"/>
    <n v="50.25"/>
  </r>
  <r>
    <n v="530"/>
    <d v="2021-12-23T00:00:00"/>
    <x v="4"/>
    <x v="10"/>
    <d v="2021-12-28T00:00:00"/>
    <n v="5"/>
    <x v="3"/>
    <s v="Customer 264"/>
    <x v="2"/>
    <s v="USA"/>
    <s v="Chicago"/>
    <s v="Illinois"/>
    <x v="3"/>
    <x v="2"/>
    <x v="5"/>
    <s v="Product B"/>
    <n v="392.01"/>
    <n v="9"/>
    <n v="108.64"/>
  </r>
  <r>
    <n v="531"/>
    <d v="2020-03-21T00:00:00"/>
    <x v="3"/>
    <x v="5"/>
    <d v="2020-03-27T00:00:00"/>
    <n v="6"/>
    <x v="2"/>
    <s v="Customer 148"/>
    <x v="2"/>
    <s v="Canada"/>
    <s v="Vancouver"/>
    <s v="British Columbia"/>
    <x v="2"/>
    <x v="1"/>
    <x v="3"/>
    <s v="Product D"/>
    <n v="297.62"/>
    <n v="7"/>
    <n v="-80.91"/>
  </r>
  <r>
    <n v="532"/>
    <d v="2023-09-16T00:00:00"/>
    <x v="5"/>
    <x v="6"/>
    <d v="2023-09-26T00:00:00"/>
    <n v="10"/>
    <x v="0"/>
    <s v="Customer 4"/>
    <x v="1"/>
    <s v="USA"/>
    <s v="New York"/>
    <s v="New York"/>
    <x v="0"/>
    <x v="0"/>
    <x v="0"/>
    <s v="Product A"/>
    <n v="66.44"/>
    <n v="4"/>
    <n v="-8.5399999999999991"/>
  </r>
  <r>
    <n v="533"/>
    <d v="2021-05-30T00:00:00"/>
    <x v="4"/>
    <x v="0"/>
    <d v="2021-06-08T00:00:00"/>
    <n v="9"/>
    <x v="0"/>
    <s v="Customer 173"/>
    <x v="1"/>
    <s v="USA"/>
    <s v="Chicago"/>
    <s v="Illinois"/>
    <x v="3"/>
    <x v="1"/>
    <x v="2"/>
    <s v="Product A"/>
    <n v="251.98"/>
    <n v="4"/>
    <n v="76.25"/>
  </r>
  <r>
    <n v="534"/>
    <d v="2024-12-10T00:00:00"/>
    <x v="1"/>
    <x v="10"/>
    <d v="2024-12-20T00:00:00"/>
    <n v="10"/>
    <x v="3"/>
    <s v="Customer 89"/>
    <x v="1"/>
    <s v="Canada"/>
    <s v="Montreal"/>
    <s v="Quebec"/>
    <x v="0"/>
    <x v="2"/>
    <x v="4"/>
    <s v="Product B"/>
    <n v="190.48"/>
    <n v="1"/>
    <n v="63.28"/>
  </r>
  <r>
    <n v="535"/>
    <d v="2022-01-06T00:00:00"/>
    <x v="2"/>
    <x v="4"/>
    <d v="2022-01-07T00:00:00"/>
    <n v="1"/>
    <x v="3"/>
    <s v="Customer 151"/>
    <x v="0"/>
    <s v="India"/>
    <s v="Bangalore"/>
    <s v="Karnataka"/>
    <x v="1"/>
    <x v="0"/>
    <x v="0"/>
    <s v="Product D"/>
    <n v="174.44"/>
    <n v="7"/>
    <n v="3.65"/>
  </r>
  <r>
    <n v="536"/>
    <d v="2022-09-10T00:00:00"/>
    <x v="2"/>
    <x v="6"/>
    <d v="2022-09-16T00:00:00"/>
    <n v="6"/>
    <x v="3"/>
    <s v="Customer 30"/>
    <x v="1"/>
    <s v="Canada"/>
    <s v="Montreal"/>
    <s v="Quebec"/>
    <x v="0"/>
    <x v="1"/>
    <x v="2"/>
    <s v="Product B"/>
    <n v="133.38999999999999"/>
    <n v="6"/>
    <n v="36.14"/>
  </r>
  <r>
    <n v="537"/>
    <d v="2023-05-31T00:00:00"/>
    <x v="5"/>
    <x v="0"/>
    <d v="2023-06-09T00:00:00"/>
    <n v="9"/>
    <x v="3"/>
    <s v="Customer 117"/>
    <x v="0"/>
    <s v="India"/>
    <s v="Delhi"/>
    <s v="Delhi"/>
    <x v="4"/>
    <x v="0"/>
    <x v="1"/>
    <s v="Product C"/>
    <n v="403.8"/>
    <n v="5"/>
    <n v="-46.47"/>
  </r>
  <r>
    <n v="538"/>
    <d v="2024-05-14T00:00:00"/>
    <x v="1"/>
    <x v="0"/>
    <d v="2024-05-20T00:00:00"/>
    <n v="6"/>
    <x v="0"/>
    <s v="Customer 135"/>
    <x v="2"/>
    <s v="USA"/>
    <s v="Chicago"/>
    <s v="Illinois"/>
    <x v="3"/>
    <x v="1"/>
    <x v="3"/>
    <s v="Product D"/>
    <n v="227.83"/>
    <n v="9"/>
    <n v="21.44"/>
  </r>
  <r>
    <n v="539"/>
    <d v="2020-07-25T00:00:00"/>
    <x v="3"/>
    <x v="1"/>
    <d v="2020-08-03T00:00:00"/>
    <n v="9"/>
    <x v="0"/>
    <s v="Customer 124"/>
    <x v="2"/>
    <s v="India"/>
    <s v="Delhi"/>
    <s v="Delhi"/>
    <x v="4"/>
    <x v="0"/>
    <x v="0"/>
    <s v="Product D"/>
    <n v="161.63"/>
    <n v="6"/>
    <n v="-8.39"/>
  </r>
  <r>
    <n v="540"/>
    <d v="2024-03-11T00:00:00"/>
    <x v="1"/>
    <x v="5"/>
    <d v="2024-03-19T00:00:00"/>
    <n v="8"/>
    <x v="3"/>
    <s v="Customer 5"/>
    <x v="0"/>
    <s v="Canada"/>
    <s v="Vancouver"/>
    <s v="British Columbia"/>
    <x v="2"/>
    <x v="1"/>
    <x v="2"/>
    <s v="Product A"/>
    <n v="378.66"/>
    <n v="1"/>
    <n v="57.24"/>
  </r>
  <r>
    <n v="541"/>
    <d v="2022-12-30T00:00:00"/>
    <x v="2"/>
    <x v="10"/>
    <d v="2023-01-03T00:00:00"/>
    <n v="4"/>
    <x v="3"/>
    <s v="Customer 225"/>
    <x v="0"/>
    <s v="Canada"/>
    <s v="Vancouver"/>
    <s v="British Columbia"/>
    <x v="2"/>
    <x v="1"/>
    <x v="2"/>
    <s v="Product C"/>
    <n v="93.03"/>
    <n v="4"/>
    <n v="12.19"/>
  </r>
  <r>
    <n v="542"/>
    <d v="2025-12-15T00:00:00"/>
    <x v="0"/>
    <x v="10"/>
    <d v="2025-12-16T00:00:00"/>
    <n v="1"/>
    <x v="1"/>
    <s v="Customer 239"/>
    <x v="0"/>
    <s v="India"/>
    <s v="Delhi"/>
    <s v="Delhi"/>
    <x v="4"/>
    <x v="1"/>
    <x v="3"/>
    <s v="Product B"/>
    <n v="407.13"/>
    <n v="6"/>
    <n v="-33.5"/>
  </r>
  <r>
    <n v="543"/>
    <d v="2021-04-08T00:00:00"/>
    <x v="4"/>
    <x v="7"/>
    <d v="2021-04-11T00:00:00"/>
    <n v="3"/>
    <x v="1"/>
    <s v="Customer 47"/>
    <x v="1"/>
    <s v="Canada"/>
    <s v="Toronto"/>
    <s v="Ontario"/>
    <x v="0"/>
    <x v="1"/>
    <x v="2"/>
    <s v="Product B"/>
    <n v="310.45"/>
    <n v="7"/>
    <n v="-4.99"/>
  </r>
  <r>
    <n v="544"/>
    <d v="2022-07-28T00:00:00"/>
    <x v="2"/>
    <x v="1"/>
    <d v="2022-07-30T00:00:00"/>
    <n v="2"/>
    <x v="1"/>
    <s v="Customer 130"/>
    <x v="1"/>
    <s v="India"/>
    <s v="Bangalore"/>
    <s v="Karnataka"/>
    <x v="1"/>
    <x v="0"/>
    <x v="0"/>
    <s v="Product A"/>
    <n v="339.82"/>
    <n v="2"/>
    <n v="-53.29"/>
  </r>
  <r>
    <n v="545"/>
    <d v="2022-01-06T00:00:00"/>
    <x v="2"/>
    <x v="4"/>
    <d v="2022-01-13T00:00:00"/>
    <n v="7"/>
    <x v="0"/>
    <s v="Customer 41"/>
    <x v="2"/>
    <s v="USA"/>
    <s v="Los Angeles"/>
    <s v="California"/>
    <x v="2"/>
    <x v="2"/>
    <x v="5"/>
    <s v="Product B"/>
    <n v="434.53"/>
    <n v="8"/>
    <n v="112.41"/>
  </r>
  <r>
    <n v="546"/>
    <d v="2021-12-20T00:00:00"/>
    <x v="4"/>
    <x v="10"/>
    <d v="2021-12-21T00:00:00"/>
    <n v="1"/>
    <x v="2"/>
    <s v="Customer 232"/>
    <x v="0"/>
    <s v="Canada"/>
    <s v="Toronto"/>
    <s v="Ontario"/>
    <x v="0"/>
    <x v="1"/>
    <x v="3"/>
    <s v="Product D"/>
    <n v="303.94"/>
    <n v="3"/>
    <n v="-2.2400000000000002"/>
  </r>
  <r>
    <n v="547"/>
    <d v="2022-03-06T00:00:00"/>
    <x v="2"/>
    <x v="5"/>
    <d v="2022-03-10T00:00:00"/>
    <n v="4"/>
    <x v="2"/>
    <s v="Customer 240"/>
    <x v="2"/>
    <s v="Canada"/>
    <s v="Vancouver"/>
    <s v="British Columbia"/>
    <x v="2"/>
    <x v="0"/>
    <x v="0"/>
    <s v="Product A"/>
    <n v="34.909999999999997"/>
    <n v="3"/>
    <n v="10.59"/>
  </r>
  <r>
    <n v="548"/>
    <d v="2023-03-06T00:00:00"/>
    <x v="5"/>
    <x v="5"/>
    <d v="2023-03-16T00:00:00"/>
    <n v="10"/>
    <x v="0"/>
    <s v="Customer 87"/>
    <x v="1"/>
    <s v="India"/>
    <s v="Bangalore"/>
    <s v="Karnataka"/>
    <x v="1"/>
    <x v="1"/>
    <x v="3"/>
    <s v="Product C"/>
    <n v="406.72"/>
    <n v="2"/>
    <n v="-59.17"/>
  </r>
  <r>
    <n v="549"/>
    <d v="2025-06-18T00:00:00"/>
    <x v="0"/>
    <x v="2"/>
    <d v="2025-06-27T00:00:00"/>
    <n v="9"/>
    <x v="1"/>
    <s v="Customer 63"/>
    <x v="1"/>
    <s v="Canada"/>
    <s v="Toronto"/>
    <s v="Ontario"/>
    <x v="0"/>
    <x v="0"/>
    <x v="0"/>
    <s v="Product B"/>
    <n v="416.95"/>
    <n v="7"/>
    <n v="78.84"/>
  </r>
  <r>
    <n v="550"/>
    <d v="2025-01-25T00:00:00"/>
    <x v="0"/>
    <x v="4"/>
    <d v="2025-01-27T00:00:00"/>
    <n v="2"/>
    <x v="2"/>
    <s v="Customer 190"/>
    <x v="0"/>
    <s v="USA"/>
    <s v="Chicago"/>
    <s v="Illinois"/>
    <x v="3"/>
    <x v="2"/>
    <x v="5"/>
    <s v="Product A"/>
    <n v="202.79"/>
    <n v="5"/>
    <n v="-32.74"/>
  </r>
  <r>
    <n v="551"/>
    <d v="2025-05-28T00:00:00"/>
    <x v="0"/>
    <x v="0"/>
    <d v="2025-06-04T00:00:00"/>
    <n v="7"/>
    <x v="3"/>
    <s v="Customer 50"/>
    <x v="2"/>
    <s v="USA"/>
    <s v="Chicago"/>
    <s v="Illinois"/>
    <x v="3"/>
    <x v="2"/>
    <x v="4"/>
    <s v="Product C"/>
    <n v="67.06"/>
    <n v="8"/>
    <n v="-19.16"/>
  </r>
  <r>
    <n v="552"/>
    <d v="2022-09-02T00:00:00"/>
    <x v="2"/>
    <x v="6"/>
    <d v="2022-09-03T00:00:00"/>
    <n v="1"/>
    <x v="0"/>
    <s v="Customer 206"/>
    <x v="0"/>
    <s v="India"/>
    <s v="Bangalore"/>
    <s v="Karnataka"/>
    <x v="1"/>
    <x v="2"/>
    <x v="5"/>
    <s v="Product B"/>
    <n v="203.23"/>
    <n v="2"/>
    <n v="18.010000000000002"/>
  </r>
  <r>
    <n v="553"/>
    <d v="2023-07-27T00:00:00"/>
    <x v="5"/>
    <x v="1"/>
    <d v="2023-07-30T00:00:00"/>
    <n v="3"/>
    <x v="3"/>
    <s v="Customer 118"/>
    <x v="0"/>
    <s v="India"/>
    <s v="Delhi"/>
    <s v="Delhi"/>
    <x v="4"/>
    <x v="0"/>
    <x v="0"/>
    <s v="Product D"/>
    <n v="79.400000000000006"/>
    <n v="2"/>
    <n v="11.41"/>
  </r>
  <r>
    <n v="554"/>
    <d v="2025-07-28T00:00:00"/>
    <x v="0"/>
    <x v="1"/>
    <d v="2025-08-07T00:00:00"/>
    <n v="10"/>
    <x v="2"/>
    <s v="Customer 284"/>
    <x v="0"/>
    <s v="USA"/>
    <s v="New York"/>
    <s v="New York"/>
    <x v="0"/>
    <x v="1"/>
    <x v="2"/>
    <s v="Product D"/>
    <n v="296.99"/>
    <n v="3"/>
    <n v="-69.31"/>
  </r>
  <r>
    <n v="555"/>
    <d v="2021-03-26T00:00:00"/>
    <x v="4"/>
    <x v="5"/>
    <d v="2021-04-01T00:00:00"/>
    <n v="6"/>
    <x v="1"/>
    <s v="Customer 93"/>
    <x v="1"/>
    <s v="India"/>
    <s v="Delhi"/>
    <s v="Delhi"/>
    <x v="4"/>
    <x v="0"/>
    <x v="1"/>
    <s v="Product A"/>
    <n v="53.57"/>
    <n v="2"/>
    <n v="1.65"/>
  </r>
  <r>
    <n v="556"/>
    <d v="2023-05-28T00:00:00"/>
    <x v="5"/>
    <x v="0"/>
    <d v="2023-06-05T00:00:00"/>
    <n v="8"/>
    <x v="2"/>
    <s v="Customer 45"/>
    <x v="0"/>
    <s v="Canada"/>
    <s v="Vancouver"/>
    <s v="British Columbia"/>
    <x v="2"/>
    <x v="1"/>
    <x v="2"/>
    <s v="Product B"/>
    <n v="436.73"/>
    <n v="3"/>
    <n v="-98.6"/>
  </r>
  <r>
    <n v="557"/>
    <d v="2025-10-20T00:00:00"/>
    <x v="0"/>
    <x v="3"/>
    <d v="2025-10-29T00:00:00"/>
    <n v="9"/>
    <x v="0"/>
    <s v="Customer 50"/>
    <x v="0"/>
    <s v="India"/>
    <s v="Delhi"/>
    <s v="Delhi"/>
    <x v="4"/>
    <x v="0"/>
    <x v="1"/>
    <s v="Product B"/>
    <n v="147.02000000000001"/>
    <n v="1"/>
    <n v="35.33"/>
  </r>
  <r>
    <n v="558"/>
    <d v="2022-06-03T00:00:00"/>
    <x v="2"/>
    <x v="2"/>
    <d v="2022-06-06T00:00:00"/>
    <n v="3"/>
    <x v="3"/>
    <s v="Customer 186"/>
    <x v="1"/>
    <s v="USA"/>
    <s v="Los Angeles"/>
    <s v="California"/>
    <x v="2"/>
    <x v="1"/>
    <x v="2"/>
    <s v="Product A"/>
    <n v="77.37"/>
    <n v="4"/>
    <n v="-22.81"/>
  </r>
  <r>
    <n v="559"/>
    <d v="2025-05-31T00:00:00"/>
    <x v="0"/>
    <x v="0"/>
    <d v="2025-06-01T00:00:00"/>
    <n v="1"/>
    <x v="0"/>
    <s v="Customer 73"/>
    <x v="1"/>
    <s v="India"/>
    <s v="Mumbai"/>
    <s v="Maharashtra"/>
    <x v="2"/>
    <x v="2"/>
    <x v="4"/>
    <s v="Product C"/>
    <n v="58.01"/>
    <n v="3"/>
    <n v="20.53"/>
  </r>
  <r>
    <n v="560"/>
    <d v="2020-12-22T00:00:00"/>
    <x v="3"/>
    <x v="10"/>
    <d v="2020-12-28T00:00:00"/>
    <n v="6"/>
    <x v="1"/>
    <s v="Customer 70"/>
    <x v="2"/>
    <s v="Canada"/>
    <s v="Toronto"/>
    <s v="Ontario"/>
    <x v="0"/>
    <x v="2"/>
    <x v="4"/>
    <s v="Product D"/>
    <n v="177.5"/>
    <n v="6"/>
    <n v="65.17"/>
  </r>
  <r>
    <n v="561"/>
    <d v="2021-08-20T00:00:00"/>
    <x v="4"/>
    <x v="8"/>
    <d v="2021-08-29T00:00:00"/>
    <n v="9"/>
    <x v="2"/>
    <s v="Customer 261"/>
    <x v="0"/>
    <s v="India"/>
    <s v="Delhi"/>
    <s v="Delhi"/>
    <x v="4"/>
    <x v="2"/>
    <x v="5"/>
    <s v="Product C"/>
    <n v="376.76"/>
    <n v="3"/>
    <n v="54.08"/>
  </r>
  <r>
    <n v="562"/>
    <d v="2020-12-05T00:00:00"/>
    <x v="3"/>
    <x v="10"/>
    <d v="2020-12-08T00:00:00"/>
    <n v="3"/>
    <x v="1"/>
    <s v="Customer 272"/>
    <x v="2"/>
    <s v="India"/>
    <s v="Bangalore"/>
    <s v="Karnataka"/>
    <x v="1"/>
    <x v="2"/>
    <x v="4"/>
    <s v="Product B"/>
    <n v="196.02"/>
    <n v="2"/>
    <n v="-34.81"/>
  </r>
  <r>
    <n v="563"/>
    <d v="2021-01-05T00:00:00"/>
    <x v="4"/>
    <x v="4"/>
    <d v="2021-01-07T00:00:00"/>
    <n v="2"/>
    <x v="3"/>
    <s v="Customer 162"/>
    <x v="2"/>
    <s v="Canada"/>
    <s v="Toronto"/>
    <s v="Ontario"/>
    <x v="0"/>
    <x v="2"/>
    <x v="5"/>
    <s v="Product D"/>
    <n v="259.32"/>
    <n v="8"/>
    <n v="-51.16"/>
  </r>
  <r>
    <n v="564"/>
    <d v="2025-08-25T00:00:00"/>
    <x v="0"/>
    <x v="8"/>
    <d v="2025-08-29T00:00:00"/>
    <n v="4"/>
    <x v="3"/>
    <s v="Customer 60"/>
    <x v="2"/>
    <s v="USA"/>
    <s v="New York"/>
    <s v="New York"/>
    <x v="0"/>
    <x v="0"/>
    <x v="1"/>
    <s v="Product A"/>
    <n v="221.26"/>
    <n v="5"/>
    <n v="96.01"/>
  </r>
  <r>
    <n v="565"/>
    <d v="2020-06-30T00:00:00"/>
    <x v="3"/>
    <x v="2"/>
    <d v="2020-07-06T00:00:00"/>
    <n v="6"/>
    <x v="3"/>
    <s v="Customer 82"/>
    <x v="0"/>
    <s v="Canada"/>
    <s v="Montreal"/>
    <s v="Quebec"/>
    <x v="0"/>
    <x v="2"/>
    <x v="5"/>
    <s v="Product B"/>
    <n v="265.89999999999998"/>
    <n v="4"/>
    <n v="-36.840000000000003"/>
  </r>
  <r>
    <n v="566"/>
    <d v="2020-06-06T00:00:00"/>
    <x v="3"/>
    <x v="2"/>
    <d v="2020-06-09T00:00:00"/>
    <n v="3"/>
    <x v="0"/>
    <s v="Customer 281"/>
    <x v="1"/>
    <s v="USA"/>
    <s v="Los Angeles"/>
    <s v="California"/>
    <x v="2"/>
    <x v="2"/>
    <x v="4"/>
    <s v="Product B"/>
    <n v="420.24"/>
    <n v="1"/>
    <n v="7.98"/>
  </r>
  <r>
    <n v="567"/>
    <d v="2021-06-24T00:00:00"/>
    <x v="4"/>
    <x v="2"/>
    <d v="2021-06-25T00:00:00"/>
    <n v="1"/>
    <x v="2"/>
    <s v="Customer 276"/>
    <x v="2"/>
    <s v="India"/>
    <s v="Bangalore"/>
    <s v="Karnataka"/>
    <x v="1"/>
    <x v="0"/>
    <x v="1"/>
    <s v="Product C"/>
    <n v="409.9"/>
    <n v="5"/>
    <n v="97.62"/>
  </r>
  <r>
    <n v="568"/>
    <d v="2023-09-28T00:00:00"/>
    <x v="5"/>
    <x v="6"/>
    <d v="2023-10-06T00:00:00"/>
    <n v="8"/>
    <x v="0"/>
    <s v="Customer 273"/>
    <x v="0"/>
    <s v="India"/>
    <s v="Bangalore"/>
    <s v="Karnataka"/>
    <x v="1"/>
    <x v="1"/>
    <x v="3"/>
    <s v="Product B"/>
    <n v="475.91"/>
    <n v="5"/>
    <n v="53.33"/>
  </r>
  <r>
    <n v="569"/>
    <d v="2025-12-14T00:00:00"/>
    <x v="0"/>
    <x v="10"/>
    <d v="2025-12-22T00:00:00"/>
    <n v="8"/>
    <x v="3"/>
    <s v="Customer 12"/>
    <x v="1"/>
    <s v="USA"/>
    <s v="Chicago"/>
    <s v="Illinois"/>
    <x v="3"/>
    <x v="1"/>
    <x v="2"/>
    <s v="Product B"/>
    <n v="393.92"/>
    <n v="9"/>
    <n v="114.44"/>
  </r>
  <r>
    <n v="570"/>
    <d v="2021-03-08T00:00:00"/>
    <x v="4"/>
    <x v="5"/>
    <d v="2021-03-10T00:00:00"/>
    <n v="2"/>
    <x v="0"/>
    <s v="Customer 288"/>
    <x v="1"/>
    <s v="USA"/>
    <s v="Chicago"/>
    <s v="Illinois"/>
    <x v="3"/>
    <x v="1"/>
    <x v="2"/>
    <s v="Product A"/>
    <n v="177.81"/>
    <n v="3"/>
    <n v="-28.7"/>
  </r>
  <r>
    <n v="571"/>
    <d v="2021-01-12T00:00:00"/>
    <x v="4"/>
    <x v="4"/>
    <d v="2021-01-15T00:00:00"/>
    <n v="3"/>
    <x v="2"/>
    <s v="Customer 200"/>
    <x v="2"/>
    <s v="India"/>
    <s v="Delhi"/>
    <s v="Delhi"/>
    <x v="4"/>
    <x v="2"/>
    <x v="5"/>
    <s v="Product A"/>
    <n v="298.07"/>
    <n v="2"/>
    <n v="90.49"/>
  </r>
  <r>
    <n v="572"/>
    <d v="2024-10-13T00:00:00"/>
    <x v="1"/>
    <x v="3"/>
    <d v="2024-10-23T00:00:00"/>
    <n v="10"/>
    <x v="1"/>
    <s v="Customer 292"/>
    <x v="1"/>
    <s v="USA"/>
    <s v="Los Angeles"/>
    <s v="California"/>
    <x v="2"/>
    <x v="1"/>
    <x v="2"/>
    <s v="Product B"/>
    <n v="177.05"/>
    <n v="4"/>
    <n v="-12.17"/>
  </r>
  <r>
    <n v="573"/>
    <d v="2022-10-07T00:00:00"/>
    <x v="2"/>
    <x v="3"/>
    <d v="2022-10-14T00:00:00"/>
    <n v="7"/>
    <x v="3"/>
    <s v="Customer 101"/>
    <x v="2"/>
    <s v="Canada"/>
    <s v="Vancouver"/>
    <s v="British Columbia"/>
    <x v="2"/>
    <x v="0"/>
    <x v="1"/>
    <s v="Product D"/>
    <n v="294.98"/>
    <n v="2"/>
    <n v="136.74"/>
  </r>
  <r>
    <n v="574"/>
    <d v="2024-12-25T00:00:00"/>
    <x v="1"/>
    <x v="10"/>
    <d v="2024-12-27T00:00:00"/>
    <n v="2"/>
    <x v="2"/>
    <s v="Customer 71"/>
    <x v="1"/>
    <s v="USA"/>
    <s v="New York"/>
    <s v="New York"/>
    <x v="0"/>
    <x v="1"/>
    <x v="3"/>
    <s v="Product B"/>
    <n v="218.91"/>
    <n v="8"/>
    <n v="61.65"/>
  </r>
  <r>
    <n v="575"/>
    <d v="2020-09-20T00:00:00"/>
    <x v="3"/>
    <x v="6"/>
    <d v="2020-09-22T00:00:00"/>
    <n v="2"/>
    <x v="1"/>
    <s v="Customer 35"/>
    <x v="1"/>
    <s v="USA"/>
    <s v="Los Angeles"/>
    <s v="California"/>
    <x v="2"/>
    <x v="1"/>
    <x v="2"/>
    <s v="Product A"/>
    <n v="150.84"/>
    <n v="2"/>
    <n v="48.83"/>
  </r>
  <r>
    <n v="576"/>
    <d v="2023-10-09T00:00:00"/>
    <x v="5"/>
    <x v="3"/>
    <d v="2023-10-18T00:00:00"/>
    <n v="9"/>
    <x v="2"/>
    <s v="Customer 10"/>
    <x v="2"/>
    <s v="USA"/>
    <s v="Chicago"/>
    <s v="Illinois"/>
    <x v="3"/>
    <x v="1"/>
    <x v="3"/>
    <s v="Product A"/>
    <n v="391.2"/>
    <n v="2"/>
    <n v="190.09"/>
  </r>
  <r>
    <n v="577"/>
    <d v="2024-08-23T00:00:00"/>
    <x v="1"/>
    <x v="8"/>
    <d v="2024-08-30T00:00:00"/>
    <n v="7"/>
    <x v="2"/>
    <s v="Customer 253"/>
    <x v="2"/>
    <s v="Canada"/>
    <s v="Toronto"/>
    <s v="Ontario"/>
    <x v="0"/>
    <x v="1"/>
    <x v="2"/>
    <s v="Product A"/>
    <n v="131.02000000000001"/>
    <n v="7"/>
    <n v="42.92"/>
  </r>
  <r>
    <n v="578"/>
    <d v="2023-04-02T00:00:00"/>
    <x v="5"/>
    <x v="7"/>
    <d v="2023-04-11T00:00:00"/>
    <n v="9"/>
    <x v="0"/>
    <s v="Customer 101"/>
    <x v="2"/>
    <s v="India"/>
    <s v="Delhi"/>
    <s v="Delhi"/>
    <x v="4"/>
    <x v="0"/>
    <x v="1"/>
    <s v="Product A"/>
    <n v="319.89"/>
    <n v="9"/>
    <n v="115.69"/>
  </r>
  <r>
    <n v="579"/>
    <d v="2022-02-15T00:00:00"/>
    <x v="2"/>
    <x v="9"/>
    <d v="2022-02-22T00:00:00"/>
    <n v="7"/>
    <x v="3"/>
    <s v="Customer 232"/>
    <x v="0"/>
    <s v="Canada"/>
    <s v="Toronto"/>
    <s v="Ontario"/>
    <x v="0"/>
    <x v="2"/>
    <x v="4"/>
    <s v="Product A"/>
    <n v="403.69"/>
    <n v="2"/>
    <n v="107.81"/>
  </r>
  <r>
    <n v="580"/>
    <d v="2025-07-29T00:00:00"/>
    <x v="0"/>
    <x v="1"/>
    <d v="2025-08-04T00:00:00"/>
    <n v="6"/>
    <x v="3"/>
    <s v="Customer 75"/>
    <x v="2"/>
    <s v="India"/>
    <s v="Delhi"/>
    <s v="Delhi"/>
    <x v="4"/>
    <x v="0"/>
    <x v="0"/>
    <s v="Product B"/>
    <n v="176.91"/>
    <n v="7"/>
    <n v="-43.8"/>
  </r>
  <r>
    <n v="581"/>
    <d v="2020-06-26T00:00:00"/>
    <x v="3"/>
    <x v="2"/>
    <d v="2020-07-06T00:00:00"/>
    <n v="10"/>
    <x v="1"/>
    <s v="Customer 94"/>
    <x v="1"/>
    <s v="Canada"/>
    <s v="Toronto"/>
    <s v="Ontario"/>
    <x v="0"/>
    <x v="0"/>
    <x v="1"/>
    <s v="Product B"/>
    <n v="51.5"/>
    <n v="9"/>
    <n v="13.05"/>
  </r>
  <r>
    <n v="582"/>
    <d v="2023-04-15T00:00:00"/>
    <x v="5"/>
    <x v="7"/>
    <d v="2023-04-23T00:00:00"/>
    <n v="8"/>
    <x v="2"/>
    <s v="Customer 58"/>
    <x v="1"/>
    <s v="India"/>
    <s v="Bangalore"/>
    <s v="Karnataka"/>
    <x v="1"/>
    <x v="1"/>
    <x v="3"/>
    <s v="Product C"/>
    <n v="109.09"/>
    <n v="9"/>
    <n v="39.880000000000003"/>
  </r>
  <r>
    <n v="583"/>
    <d v="2021-09-19T00:00:00"/>
    <x v="4"/>
    <x v="6"/>
    <d v="2021-09-27T00:00:00"/>
    <n v="8"/>
    <x v="2"/>
    <s v="Customer 280"/>
    <x v="0"/>
    <s v="USA"/>
    <s v="Chicago"/>
    <s v="Illinois"/>
    <x v="3"/>
    <x v="2"/>
    <x v="4"/>
    <s v="Product A"/>
    <n v="414.84"/>
    <n v="8"/>
    <n v="48.62"/>
  </r>
  <r>
    <n v="584"/>
    <d v="2020-03-12T00:00:00"/>
    <x v="3"/>
    <x v="5"/>
    <d v="2020-03-14T00:00:00"/>
    <n v="2"/>
    <x v="2"/>
    <s v="Customer 113"/>
    <x v="0"/>
    <s v="India"/>
    <s v="Delhi"/>
    <s v="Delhi"/>
    <x v="4"/>
    <x v="2"/>
    <x v="5"/>
    <s v="Product A"/>
    <n v="224.19"/>
    <n v="2"/>
    <n v="21.01"/>
  </r>
  <r>
    <n v="585"/>
    <d v="2020-03-24T00:00:00"/>
    <x v="3"/>
    <x v="5"/>
    <d v="2020-03-25T00:00:00"/>
    <n v="1"/>
    <x v="2"/>
    <s v="Customer 255"/>
    <x v="1"/>
    <s v="India"/>
    <s v="Delhi"/>
    <s v="Delhi"/>
    <x v="4"/>
    <x v="1"/>
    <x v="3"/>
    <s v="Product A"/>
    <n v="391.16"/>
    <n v="4"/>
    <n v="188.68"/>
  </r>
  <r>
    <n v="586"/>
    <d v="2021-02-13T00:00:00"/>
    <x v="4"/>
    <x v="9"/>
    <d v="2021-02-15T00:00:00"/>
    <n v="2"/>
    <x v="0"/>
    <s v="Customer 173"/>
    <x v="1"/>
    <s v="Canada"/>
    <s v="Vancouver"/>
    <s v="British Columbia"/>
    <x v="2"/>
    <x v="0"/>
    <x v="1"/>
    <s v="Product B"/>
    <n v="134.66"/>
    <n v="5"/>
    <n v="-36.46"/>
  </r>
  <r>
    <n v="587"/>
    <d v="2022-04-12T00:00:00"/>
    <x v="2"/>
    <x v="7"/>
    <d v="2022-04-13T00:00:00"/>
    <n v="1"/>
    <x v="0"/>
    <s v="Customer 144"/>
    <x v="1"/>
    <s v="Canada"/>
    <s v="Montreal"/>
    <s v="Quebec"/>
    <x v="0"/>
    <x v="2"/>
    <x v="4"/>
    <s v="Product D"/>
    <n v="430.94"/>
    <n v="2"/>
    <n v="-94.96"/>
  </r>
  <r>
    <n v="588"/>
    <d v="2025-02-17T00:00:00"/>
    <x v="0"/>
    <x v="9"/>
    <d v="2025-02-21T00:00:00"/>
    <n v="4"/>
    <x v="3"/>
    <s v="Customer 193"/>
    <x v="1"/>
    <s v="Canada"/>
    <s v="Vancouver"/>
    <s v="British Columbia"/>
    <x v="2"/>
    <x v="0"/>
    <x v="1"/>
    <s v="Product D"/>
    <n v="288.45"/>
    <n v="5"/>
    <n v="-38.03"/>
  </r>
  <r>
    <n v="589"/>
    <d v="2021-09-25T00:00:00"/>
    <x v="4"/>
    <x v="6"/>
    <d v="2021-10-03T00:00:00"/>
    <n v="8"/>
    <x v="0"/>
    <s v="Customer 219"/>
    <x v="1"/>
    <s v="Canada"/>
    <s v="Vancouver"/>
    <s v="British Columbia"/>
    <x v="2"/>
    <x v="1"/>
    <x v="2"/>
    <s v="Product A"/>
    <n v="69.87"/>
    <n v="9"/>
    <n v="27.66"/>
  </r>
  <r>
    <n v="590"/>
    <d v="2020-06-15T00:00:00"/>
    <x v="3"/>
    <x v="2"/>
    <d v="2020-06-23T00:00:00"/>
    <n v="8"/>
    <x v="2"/>
    <s v="Customer 287"/>
    <x v="0"/>
    <s v="India"/>
    <s v="Bangalore"/>
    <s v="Karnataka"/>
    <x v="1"/>
    <x v="2"/>
    <x v="4"/>
    <s v="Product B"/>
    <n v="193"/>
    <n v="3"/>
    <n v="39.71"/>
  </r>
  <r>
    <n v="591"/>
    <d v="2021-08-29T00:00:00"/>
    <x v="4"/>
    <x v="8"/>
    <d v="2021-08-30T00:00:00"/>
    <n v="1"/>
    <x v="2"/>
    <s v="Customer 250"/>
    <x v="2"/>
    <s v="USA"/>
    <s v="Chicago"/>
    <s v="Illinois"/>
    <x v="3"/>
    <x v="2"/>
    <x v="5"/>
    <s v="Product A"/>
    <n v="107.69"/>
    <n v="3"/>
    <n v="33.130000000000003"/>
  </r>
  <r>
    <n v="592"/>
    <d v="2025-05-29T00:00:00"/>
    <x v="0"/>
    <x v="0"/>
    <d v="2025-06-03T00:00:00"/>
    <n v="5"/>
    <x v="0"/>
    <s v="Customer 172"/>
    <x v="1"/>
    <s v="Canada"/>
    <s v="Toronto"/>
    <s v="Ontario"/>
    <x v="0"/>
    <x v="2"/>
    <x v="4"/>
    <s v="Product A"/>
    <n v="228.45"/>
    <n v="8"/>
    <n v="97.68"/>
  </r>
  <r>
    <n v="593"/>
    <d v="2025-10-12T00:00:00"/>
    <x v="0"/>
    <x v="3"/>
    <d v="2025-10-15T00:00:00"/>
    <n v="3"/>
    <x v="0"/>
    <s v="Customer 125"/>
    <x v="2"/>
    <s v="USA"/>
    <s v="Los Angeles"/>
    <s v="California"/>
    <x v="2"/>
    <x v="1"/>
    <x v="3"/>
    <s v="Product C"/>
    <n v="417.13"/>
    <n v="2"/>
    <n v="32.04"/>
  </r>
  <r>
    <n v="594"/>
    <d v="2021-12-03T00:00:00"/>
    <x v="4"/>
    <x v="10"/>
    <d v="2021-12-09T00:00:00"/>
    <n v="6"/>
    <x v="1"/>
    <s v="Customer 151"/>
    <x v="0"/>
    <s v="Canada"/>
    <s v="Montreal"/>
    <s v="Quebec"/>
    <x v="0"/>
    <x v="0"/>
    <x v="1"/>
    <s v="Product B"/>
    <n v="99.55"/>
    <n v="9"/>
    <n v="35.31"/>
  </r>
  <r>
    <n v="595"/>
    <d v="2025-05-07T00:00:00"/>
    <x v="0"/>
    <x v="0"/>
    <d v="2025-05-16T00:00:00"/>
    <n v="9"/>
    <x v="0"/>
    <s v="Customer 135"/>
    <x v="0"/>
    <s v="USA"/>
    <s v="Chicago"/>
    <s v="Illinois"/>
    <x v="3"/>
    <x v="0"/>
    <x v="1"/>
    <s v="Product D"/>
    <n v="226.11"/>
    <n v="7"/>
    <n v="108.89"/>
  </r>
  <r>
    <n v="596"/>
    <d v="2024-09-27T00:00:00"/>
    <x v="1"/>
    <x v="6"/>
    <d v="2024-10-04T00:00:00"/>
    <n v="7"/>
    <x v="0"/>
    <s v="Customer 129"/>
    <x v="2"/>
    <s v="Canada"/>
    <s v="Toronto"/>
    <s v="Ontario"/>
    <x v="0"/>
    <x v="1"/>
    <x v="3"/>
    <s v="Product D"/>
    <n v="342.87"/>
    <n v="4"/>
    <n v="154.80000000000001"/>
  </r>
  <r>
    <n v="597"/>
    <d v="2022-09-06T00:00:00"/>
    <x v="2"/>
    <x v="6"/>
    <d v="2022-09-12T00:00:00"/>
    <n v="6"/>
    <x v="2"/>
    <s v="Customer 184"/>
    <x v="0"/>
    <s v="USA"/>
    <s v="New York"/>
    <s v="New York"/>
    <x v="0"/>
    <x v="0"/>
    <x v="0"/>
    <s v="Product C"/>
    <n v="131.46"/>
    <n v="10"/>
    <n v="50.35"/>
  </r>
  <r>
    <n v="598"/>
    <d v="2020-09-29T00:00:00"/>
    <x v="3"/>
    <x v="6"/>
    <d v="2020-10-02T00:00:00"/>
    <n v="3"/>
    <x v="0"/>
    <s v="Customer 139"/>
    <x v="1"/>
    <s v="India"/>
    <s v="Mumbai"/>
    <s v="Maharashtra"/>
    <x v="2"/>
    <x v="0"/>
    <x v="1"/>
    <s v="Product D"/>
    <n v="246.08"/>
    <n v="10"/>
    <n v="117.73"/>
  </r>
  <r>
    <n v="599"/>
    <d v="2021-05-07T00:00:00"/>
    <x v="4"/>
    <x v="0"/>
    <d v="2021-05-17T00:00:00"/>
    <n v="10"/>
    <x v="2"/>
    <s v="Customer 55"/>
    <x v="0"/>
    <s v="Canada"/>
    <s v="Montreal"/>
    <s v="Quebec"/>
    <x v="0"/>
    <x v="0"/>
    <x v="1"/>
    <s v="Product D"/>
    <n v="232.7"/>
    <n v="5"/>
    <n v="-32.97"/>
  </r>
  <r>
    <n v="600"/>
    <d v="2025-08-24T00:00:00"/>
    <x v="0"/>
    <x v="8"/>
    <d v="2025-08-26T00:00:00"/>
    <n v="2"/>
    <x v="0"/>
    <s v="Customer 282"/>
    <x v="2"/>
    <s v="USA"/>
    <s v="Chicago"/>
    <s v="Illinois"/>
    <x v="3"/>
    <x v="0"/>
    <x v="1"/>
    <s v="Product D"/>
    <n v="73.28"/>
    <n v="1"/>
    <n v="-8.24"/>
  </r>
  <r>
    <n v="601"/>
    <d v="2022-11-29T00:00:00"/>
    <x v="2"/>
    <x v="11"/>
    <d v="2022-12-04T00:00:00"/>
    <n v="5"/>
    <x v="2"/>
    <s v="Customer 260"/>
    <x v="2"/>
    <s v="Canada"/>
    <s v="Montreal"/>
    <s v="Quebec"/>
    <x v="0"/>
    <x v="0"/>
    <x v="0"/>
    <s v="Product B"/>
    <n v="296.81"/>
    <n v="8"/>
    <n v="118.1"/>
  </r>
  <r>
    <n v="602"/>
    <d v="2025-07-31T00:00:00"/>
    <x v="0"/>
    <x v="1"/>
    <d v="2025-08-05T00:00:00"/>
    <n v="5"/>
    <x v="1"/>
    <s v="Customer 127"/>
    <x v="1"/>
    <s v="USA"/>
    <s v="Chicago"/>
    <s v="Illinois"/>
    <x v="3"/>
    <x v="2"/>
    <x v="5"/>
    <s v="Product B"/>
    <n v="75.180000000000007"/>
    <n v="2"/>
    <n v="8.5399999999999991"/>
  </r>
  <r>
    <n v="603"/>
    <d v="2025-02-05T00:00:00"/>
    <x v="0"/>
    <x v="9"/>
    <d v="2025-02-13T00:00:00"/>
    <n v="8"/>
    <x v="0"/>
    <s v="Customer 250"/>
    <x v="1"/>
    <s v="USA"/>
    <s v="New York"/>
    <s v="New York"/>
    <x v="0"/>
    <x v="1"/>
    <x v="2"/>
    <s v="Product A"/>
    <n v="261.99"/>
    <n v="4"/>
    <n v="31.91"/>
  </r>
  <r>
    <n v="604"/>
    <d v="2020-08-18T00:00:00"/>
    <x v="3"/>
    <x v="8"/>
    <d v="2020-08-23T00:00:00"/>
    <n v="5"/>
    <x v="3"/>
    <s v="Customer 17"/>
    <x v="2"/>
    <s v="Canada"/>
    <s v="Montreal"/>
    <s v="Quebec"/>
    <x v="0"/>
    <x v="2"/>
    <x v="5"/>
    <s v="Product B"/>
    <n v="53.45"/>
    <n v="3"/>
    <n v="-6.59"/>
  </r>
  <r>
    <n v="605"/>
    <d v="2020-07-01T00:00:00"/>
    <x v="3"/>
    <x v="1"/>
    <d v="2020-07-05T00:00:00"/>
    <n v="4"/>
    <x v="2"/>
    <s v="Customer 131"/>
    <x v="2"/>
    <s v="USA"/>
    <s v="Chicago"/>
    <s v="Illinois"/>
    <x v="3"/>
    <x v="1"/>
    <x v="3"/>
    <s v="Product A"/>
    <n v="47.29"/>
    <n v="1"/>
    <n v="7.67"/>
  </r>
  <r>
    <n v="606"/>
    <d v="2023-04-17T00:00:00"/>
    <x v="5"/>
    <x v="7"/>
    <d v="2023-04-24T00:00:00"/>
    <n v="7"/>
    <x v="3"/>
    <s v="Customer 215"/>
    <x v="0"/>
    <s v="India"/>
    <s v="Delhi"/>
    <s v="Delhi"/>
    <x v="4"/>
    <x v="0"/>
    <x v="0"/>
    <s v="Product A"/>
    <n v="283.13"/>
    <n v="1"/>
    <n v="88.72"/>
  </r>
  <r>
    <n v="607"/>
    <d v="2023-08-15T00:00:00"/>
    <x v="5"/>
    <x v="8"/>
    <d v="2023-08-23T00:00:00"/>
    <n v="8"/>
    <x v="3"/>
    <s v="Customer 212"/>
    <x v="1"/>
    <s v="USA"/>
    <s v="Los Angeles"/>
    <s v="California"/>
    <x v="2"/>
    <x v="1"/>
    <x v="2"/>
    <s v="Product D"/>
    <n v="316.22000000000003"/>
    <n v="2"/>
    <n v="-1.33"/>
  </r>
  <r>
    <n v="608"/>
    <d v="2023-12-26T00:00:00"/>
    <x v="5"/>
    <x v="10"/>
    <d v="2023-12-31T00:00:00"/>
    <n v="5"/>
    <x v="3"/>
    <s v="Customer 68"/>
    <x v="1"/>
    <s v="India"/>
    <s v="Mumbai"/>
    <s v="Maharashtra"/>
    <x v="2"/>
    <x v="1"/>
    <x v="3"/>
    <s v="Product C"/>
    <n v="175.95"/>
    <n v="9"/>
    <n v="-20.75"/>
  </r>
  <r>
    <n v="609"/>
    <d v="2020-12-07T00:00:00"/>
    <x v="3"/>
    <x v="10"/>
    <d v="2020-12-12T00:00:00"/>
    <n v="5"/>
    <x v="2"/>
    <s v="Customer 218"/>
    <x v="0"/>
    <s v="India"/>
    <s v="Mumbai"/>
    <s v="Maharashtra"/>
    <x v="2"/>
    <x v="1"/>
    <x v="3"/>
    <s v="Product A"/>
    <n v="385.38"/>
    <n v="6"/>
    <n v="85.37"/>
  </r>
  <r>
    <n v="610"/>
    <d v="2025-09-20T00:00:00"/>
    <x v="0"/>
    <x v="6"/>
    <d v="2025-09-29T00:00:00"/>
    <n v="9"/>
    <x v="3"/>
    <s v="Customer 244"/>
    <x v="2"/>
    <s v="Canada"/>
    <s v="Vancouver"/>
    <s v="British Columbia"/>
    <x v="2"/>
    <x v="1"/>
    <x v="2"/>
    <s v="Product D"/>
    <n v="115.98"/>
    <n v="10"/>
    <n v="-29.11"/>
  </r>
  <r>
    <n v="611"/>
    <d v="2023-07-06T00:00:00"/>
    <x v="5"/>
    <x v="1"/>
    <d v="2023-07-13T00:00:00"/>
    <n v="7"/>
    <x v="3"/>
    <s v="Customer 70"/>
    <x v="0"/>
    <s v="India"/>
    <s v="Bangalore"/>
    <s v="Karnataka"/>
    <x v="1"/>
    <x v="1"/>
    <x v="3"/>
    <s v="Product B"/>
    <n v="480.98"/>
    <n v="2"/>
    <n v="95.06"/>
  </r>
  <r>
    <n v="612"/>
    <d v="2022-06-18T00:00:00"/>
    <x v="2"/>
    <x v="2"/>
    <d v="2022-06-28T00:00:00"/>
    <n v="10"/>
    <x v="3"/>
    <s v="Customer 38"/>
    <x v="0"/>
    <s v="Canada"/>
    <s v="Montreal"/>
    <s v="Quebec"/>
    <x v="0"/>
    <x v="0"/>
    <x v="0"/>
    <s v="Product C"/>
    <n v="264.49"/>
    <n v="4"/>
    <n v="39.840000000000003"/>
  </r>
  <r>
    <n v="613"/>
    <d v="2025-08-06T00:00:00"/>
    <x v="0"/>
    <x v="8"/>
    <d v="2025-08-09T00:00:00"/>
    <n v="3"/>
    <x v="1"/>
    <s v="Customer 4"/>
    <x v="0"/>
    <s v="Canada"/>
    <s v="Toronto"/>
    <s v="Ontario"/>
    <x v="0"/>
    <x v="0"/>
    <x v="1"/>
    <s v="Product C"/>
    <n v="483.44"/>
    <n v="4"/>
    <n v="170.8"/>
  </r>
  <r>
    <n v="614"/>
    <d v="2025-12-01T00:00:00"/>
    <x v="0"/>
    <x v="10"/>
    <d v="2025-12-11T00:00:00"/>
    <n v="10"/>
    <x v="2"/>
    <s v="Customer 151"/>
    <x v="2"/>
    <s v="USA"/>
    <s v="Chicago"/>
    <s v="Illinois"/>
    <x v="3"/>
    <x v="0"/>
    <x v="0"/>
    <s v="Product D"/>
    <n v="316.91000000000003"/>
    <n v="6"/>
    <n v="-24.86"/>
  </r>
  <r>
    <n v="615"/>
    <d v="2024-06-13T00:00:00"/>
    <x v="1"/>
    <x v="2"/>
    <d v="2024-06-15T00:00:00"/>
    <n v="2"/>
    <x v="3"/>
    <s v="Customer 95"/>
    <x v="2"/>
    <s v="India"/>
    <s v="Bangalore"/>
    <s v="Karnataka"/>
    <x v="1"/>
    <x v="0"/>
    <x v="1"/>
    <s v="Product A"/>
    <n v="433.28"/>
    <n v="6"/>
    <n v="177.49"/>
  </r>
  <r>
    <n v="616"/>
    <d v="2020-06-04T00:00:00"/>
    <x v="3"/>
    <x v="2"/>
    <d v="2020-06-14T00:00:00"/>
    <n v="10"/>
    <x v="0"/>
    <s v="Customer 187"/>
    <x v="0"/>
    <s v="India"/>
    <s v="Bangalore"/>
    <s v="Karnataka"/>
    <x v="1"/>
    <x v="2"/>
    <x v="4"/>
    <s v="Product D"/>
    <n v="186.83"/>
    <n v="5"/>
    <n v="9.09"/>
  </r>
  <r>
    <n v="617"/>
    <d v="2025-01-28T00:00:00"/>
    <x v="0"/>
    <x v="4"/>
    <d v="2025-02-06T00:00:00"/>
    <n v="9"/>
    <x v="2"/>
    <s v="Customer 300"/>
    <x v="2"/>
    <s v="India"/>
    <s v="Delhi"/>
    <s v="Delhi"/>
    <x v="4"/>
    <x v="1"/>
    <x v="3"/>
    <s v="Product D"/>
    <n v="166.68"/>
    <n v="7"/>
    <n v="-2.78"/>
  </r>
  <r>
    <n v="618"/>
    <d v="2020-02-07T00:00:00"/>
    <x v="3"/>
    <x v="9"/>
    <d v="2020-02-15T00:00:00"/>
    <n v="8"/>
    <x v="1"/>
    <s v="Customer 1"/>
    <x v="0"/>
    <s v="USA"/>
    <s v="Los Angeles"/>
    <s v="California"/>
    <x v="2"/>
    <x v="2"/>
    <x v="5"/>
    <s v="Product B"/>
    <n v="331.54"/>
    <n v="9"/>
    <n v="76.06"/>
  </r>
  <r>
    <n v="619"/>
    <d v="2025-10-10T00:00:00"/>
    <x v="0"/>
    <x v="3"/>
    <d v="2025-10-14T00:00:00"/>
    <n v="4"/>
    <x v="1"/>
    <s v="Customer 115"/>
    <x v="2"/>
    <s v="Canada"/>
    <s v="Montreal"/>
    <s v="Quebec"/>
    <x v="0"/>
    <x v="0"/>
    <x v="1"/>
    <s v="Product D"/>
    <n v="335.1"/>
    <n v="7"/>
    <n v="165.52"/>
  </r>
  <r>
    <n v="620"/>
    <d v="2023-01-04T00:00:00"/>
    <x v="5"/>
    <x v="4"/>
    <d v="2023-01-11T00:00:00"/>
    <n v="7"/>
    <x v="1"/>
    <s v="Customer 162"/>
    <x v="2"/>
    <s v="USA"/>
    <s v="Los Angeles"/>
    <s v="California"/>
    <x v="2"/>
    <x v="1"/>
    <x v="2"/>
    <s v="Product B"/>
    <n v="132.69999999999999"/>
    <n v="4"/>
    <n v="53.58"/>
  </r>
  <r>
    <n v="621"/>
    <d v="2021-04-07T00:00:00"/>
    <x v="4"/>
    <x v="7"/>
    <d v="2021-04-13T00:00:00"/>
    <n v="6"/>
    <x v="1"/>
    <s v="Customer 44"/>
    <x v="1"/>
    <s v="Canada"/>
    <s v="Montreal"/>
    <s v="Quebec"/>
    <x v="0"/>
    <x v="1"/>
    <x v="2"/>
    <s v="Product D"/>
    <n v="300.58"/>
    <n v="6"/>
    <n v="138.69999999999999"/>
  </r>
  <r>
    <n v="622"/>
    <d v="2022-07-25T00:00:00"/>
    <x v="2"/>
    <x v="1"/>
    <d v="2022-07-31T00:00:00"/>
    <n v="6"/>
    <x v="1"/>
    <s v="Customer 64"/>
    <x v="2"/>
    <s v="Canada"/>
    <s v="Montreal"/>
    <s v="Quebec"/>
    <x v="0"/>
    <x v="0"/>
    <x v="1"/>
    <s v="Product C"/>
    <n v="477.39"/>
    <n v="3"/>
    <n v="-91.86"/>
  </r>
  <r>
    <n v="623"/>
    <d v="2023-07-23T00:00:00"/>
    <x v="5"/>
    <x v="1"/>
    <d v="2023-07-24T00:00:00"/>
    <n v="1"/>
    <x v="2"/>
    <s v="Customer 128"/>
    <x v="2"/>
    <s v="Canada"/>
    <s v="Toronto"/>
    <s v="Ontario"/>
    <x v="0"/>
    <x v="0"/>
    <x v="1"/>
    <s v="Product C"/>
    <n v="307.12"/>
    <n v="10"/>
    <n v="42.64"/>
  </r>
  <r>
    <n v="624"/>
    <d v="2022-06-06T00:00:00"/>
    <x v="2"/>
    <x v="2"/>
    <d v="2022-06-09T00:00:00"/>
    <n v="3"/>
    <x v="1"/>
    <s v="Customer 44"/>
    <x v="0"/>
    <s v="India"/>
    <s v="Delhi"/>
    <s v="Delhi"/>
    <x v="4"/>
    <x v="1"/>
    <x v="3"/>
    <s v="Product D"/>
    <n v="162"/>
    <n v="4"/>
    <n v="-44.54"/>
  </r>
  <r>
    <n v="625"/>
    <d v="2025-01-27T00:00:00"/>
    <x v="0"/>
    <x v="4"/>
    <d v="2025-01-31T00:00:00"/>
    <n v="4"/>
    <x v="2"/>
    <s v="Customer 50"/>
    <x v="0"/>
    <s v="Canada"/>
    <s v="Toronto"/>
    <s v="Ontario"/>
    <x v="0"/>
    <x v="0"/>
    <x v="1"/>
    <s v="Product B"/>
    <n v="444.94"/>
    <n v="6"/>
    <n v="-10.53"/>
  </r>
  <r>
    <n v="626"/>
    <d v="2025-04-24T00:00:00"/>
    <x v="0"/>
    <x v="7"/>
    <d v="2025-04-30T00:00:00"/>
    <n v="6"/>
    <x v="0"/>
    <s v="Customer 224"/>
    <x v="2"/>
    <s v="USA"/>
    <s v="Los Angeles"/>
    <s v="California"/>
    <x v="2"/>
    <x v="2"/>
    <x v="4"/>
    <s v="Product B"/>
    <n v="90.55"/>
    <n v="2"/>
    <n v="15.88"/>
  </r>
  <r>
    <n v="627"/>
    <d v="2025-07-21T00:00:00"/>
    <x v="0"/>
    <x v="1"/>
    <d v="2025-07-23T00:00:00"/>
    <n v="2"/>
    <x v="0"/>
    <s v="Customer 195"/>
    <x v="0"/>
    <s v="India"/>
    <s v="Mumbai"/>
    <s v="Maharashtra"/>
    <x v="2"/>
    <x v="2"/>
    <x v="5"/>
    <s v="Product C"/>
    <n v="199.48"/>
    <n v="10"/>
    <n v="-16.09"/>
  </r>
  <r>
    <n v="628"/>
    <d v="2020-06-10T00:00:00"/>
    <x v="3"/>
    <x v="2"/>
    <d v="2020-06-14T00:00:00"/>
    <n v="4"/>
    <x v="0"/>
    <s v="Customer 259"/>
    <x v="0"/>
    <s v="India"/>
    <s v="Bangalore"/>
    <s v="Karnataka"/>
    <x v="1"/>
    <x v="0"/>
    <x v="1"/>
    <s v="Product D"/>
    <n v="179.18"/>
    <n v="1"/>
    <n v="3.38"/>
  </r>
  <r>
    <n v="629"/>
    <d v="2023-09-18T00:00:00"/>
    <x v="5"/>
    <x v="6"/>
    <d v="2023-09-22T00:00:00"/>
    <n v="4"/>
    <x v="1"/>
    <s v="Customer 242"/>
    <x v="2"/>
    <s v="India"/>
    <s v="Bangalore"/>
    <s v="Karnataka"/>
    <x v="1"/>
    <x v="0"/>
    <x v="0"/>
    <s v="Product C"/>
    <n v="402.51"/>
    <n v="1"/>
    <n v="-51.54"/>
  </r>
  <r>
    <n v="630"/>
    <d v="2025-09-03T00:00:00"/>
    <x v="0"/>
    <x v="6"/>
    <d v="2025-09-06T00:00:00"/>
    <n v="3"/>
    <x v="1"/>
    <s v="Customer 206"/>
    <x v="1"/>
    <s v="USA"/>
    <s v="Los Angeles"/>
    <s v="California"/>
    <x v="2"/>
    <x v="2"/>
    <x v="5"/>
    <s v="Product A"/>
    <n v="72.930000000000007"/>
    <n v="7"/>
    <n v="15.16"/>
  </r>
  <r>
    <n v="631"/>
    <d v="2023-01-14T00:00:00"/>
    <x v="5"/>
    <x v="4"/>
    <d v="2023-01-15T00:00:00"/>
    <n v="1"/>
    <x v="2"/>
    <s v="Customer 114"/>
    <x v="1"/>
    <s v="India"/>
    <s v="Bangalore"/>
    <s v="Karnataka"/>
    <x v="1"/>
    <x v="0"/>
    <x v="0"/>
    <s v="Product A"/>
    <n v="170.04"/>
    <n v="2"/>
    <n v="-16.97"/>
  </r>
  <r>
    <n v="632"/>
    <d v="2021-05-18T00:00:00"/>
    <x v="4"/>
    <x v="0"/>
    <d v="2021-05-27T00:00:00"/>
    <n v="9"/>
    <x v="0"/>
    <s v="Customer 204"/>
    <x v="0"/>
    <s v="USA"/>
    <s v="New York"/>
    <s v="New York"/>
    <x v="0"/>
    <x v="2"/>
    <x v="4"/>
    <s v="Product B"/>
    <n v="320.72000000000003"/>
    <n v="1"/>
    <n v="115.8"/>
  </r>
  <r>
    <n v="633"/>
    <d v="2020-01-02T00:00:00"/>
    <x v="3"/>
    <x v="4"/>
    <d v="2020-01-08T00:00:00"/>
    <n v="6"/>
    <x v="1"/>
    <s v="Customer 22"/>
    <x v="1"/>
    <s v="Canada"/>
    <s v="Montreal"/>
    <s v="Quebec"/>
    <x v="0"/>
    <x v="2"/>
    <x v="4"/>
    <s v="Product B"/>
    <n v="229.74"/>
    <n v="5"/>
    <n v="48.55"/>
  </r>
  <r>
    <n v="634"/>
    <d v="2023-05-07T00:00:00"/>
    <x v="5"/>
    <x v="0"/>
    <d v="2023-05-13T00:00:00"/>
    <n v="6"/>
    <x v="2"/>
    <s v="Customer 243"/>
    <x v="1"/>
    <s v="Canada"/>
    <s v="Vancouver"/>
    <s v="British Columbia"/>
    <x v="2"/>
    <x v="1"/>
    <x v="2"/>
    <s v="Product D"/>
    <n v="362.22"/>
    <n v="3"/>
    <n v="-93.5"/>
  </r>
  <r>
    <n v="635"/>
    <d v="2023-11-26T00:00:00"/>
    <x v="5"/>
    <x v="11"/>
    <d v="2023-11-27T00:00:00"/>
    <n v="1"/>
    <x v="3"/>
    <s v="Customer 291"/>
    <x v="2"/>
    <s v="USA"/>
    <s v="Chicago"/>
    <s v="Illinois"/>
    <x v="3"/>
    <x v="0"/>
    <x v="0"/>
    <s v="Product D"/>
    <n v="64.069999999999993"/>
    <n v="2"/>
    <n v="-4.38"/>
  </r>
  <r>
    <n v="636"/>
    <d v="2020-07-28T00:00:00"/>
    <x v="3"/>
    <x v="1"/>
    <d v="2020-08-05T00:00:00"/>
    <n v="8"/>
    <x v="0"/>
    <s v="Customer 193"/>
    <x v="1"/>
    <s v="USA"/>
    <s v="New York"/>
    <s v="New York"/>
    <x v="0"/>
    <x v="0"/>
    <x v="0"/>
    <s v="Product B"/>
    <n v="111.99"/>
    <n v="4"/>
    <n v="27.12"/>
  </r>
  <r>
    <n v="637"/>
    <d v="2022-12-28T00:00:00"/>
    <x v="2"/>
    <x v="10"/>
    <d v="2022-12-30T00:00:00"/>
    <n v="2"/>
    <x v="2"/>
    <s v="Customer 293"/>
    <x v="1"/>
    <s v="India"/>
    <s v="Delhi"/>
    <s v="Delhi"/>
    <x v="4"/>
    <x v="0"/>
    <x v="0"/>
    <s v="Product D"/>
    <n v="452.65"/>
    <n v="9"/>
    <n v="169.46"/>
  </r>
  <r>
    <n v="638"/>
    <d v="2025-03-14T00:00:00"/>
    <x v="0"/>
    <x v="5"/>
    <d v="2025-03-23T00:00:00"/>
    <n v="9"/>
    <x v="1"/>
    <s v="Customer 5"/>
    <x v="1"/>
    <s v="Canada"/>
    <s v="Vancouver"/>
    <s v="British Columbia"/>
    <x v="2"/>
    <x v="1"/>
    <x v="2"/>
    <s v="Product A"/>
    <n v="282.72000000000003"/>
    <n v="4"/>
    <n v="-39.19"/>
  </r>
  <r>
    <n v="639"/>
    <d v="2022-01-20T00:00:00"/>
    <x v="2"/>
    <x v="4"/>
    <d v="2022-01-21T00:00:00"/>
    <n v="1"/>
    <x v="1"/>
    <s v="Customer 164"/>
    <x v="0"/>
    <s v="USA"/>
    <s v="Chicago"/>
    <s v="Illinois"/>
    <x v="3"/>
    <x v="0"/>
    <x v="0"/>
    <s v="Product B"/>
    <n v="425.58"/>
    <n v="10"/>
    <n v="-38.11"/>
  </r>
  <r>
    <n v="640"/>
    <d v="2021-08-07T00:00:00"/>
    <x v="4"/>
    <x v="8"/>
    <d v="2021-08-12T00:00:00"/>
    <n v="5"/>
    <x v="1"/>
    <s v="Customer 177"/>
    <x v="0"/>
    <s v="Canada"/>
    <s v="Vancouver"/>
    <s v="British Columbia"/>
    <x v="2"/>
    <x v="2"/>
    <x v="5"/>
    <s v="Product D"/>
    <n v="110.11"/>
    <n v="8"/>
    <n v="46.58"/>
  </r>
  <r>
    <n v="641"/>
    <d v="2020-01-27T00:00:00"/>
    <x v="3"/>
    <x v="4"/>
    <d v="2020-01-28T00:00:00"/>
    <n v="1"/>
    <x v="3"/>
    <s v="Customer 48"/>
    <x v="2"/>
    <s v="Canada"/>
    <s v="Vancouver"/>
    <s v="British Columbia"/>
    <x v="2"/>
    <x v="1"/>
    <x v="2"/>
    <s v="Product C"/>
    <n v="229.61"/>
    <n v="2"/>
    <n v="89.75"/>
  </r>
  <r>
    <n v="642"/>
    <d v="2024-08-17T00:00:00"/>
    <x v="1"/>
    <x v="8"/>
    <d v="2024-08-27T00:00:00"/>
    <n v="10"/>
    <x v="3"/>
    <s v="Customer 266"/>
    <x v="2"/>
    <s v="USA"/>
    <s v="Chicago"/>
    <s v="Illinois"/>
    <x v="3"/>
    <x v="0"/>
    <x v="1"/>
    <s v="Product A"/>
    <n v="310.95999999999998"/>
    <n v="9"/>
    <n v="51.38"/>
  </r>
  <r>
    <n v="643"/>
    <d v="2023-12-01T00:00:00"/>
    <x v="5"/>
    <x v="10"/>
    <d v="2023-12-03T00:00:00"/>
    <n v="2"/>
    <x v="0"/>
    <s v="Customer 188"/>
    <x v="1"/>
    <s v="India"/>
    <s v="Mumbai"/>
    <s v="Maharashtra"/>
    <x v="2"/>
    <x v="2"/>
    <x v="4"/>
    <s v="Product A"/>
    <n v="195.47"/>
    <n v="10"/>
    <n v="13.46"/>
  </r>
  <r>
    <n v="644"/>
    <d v="2022-09-17T00:00:00"/>
    <x v="2"/>
    <x v="6"/>
    <d v="2022-09-22T00:00:00"/>
    <n v="5"/>
    <x v="2"/>
    <s v="Customer 229"/>
    <x v="2"/>
    <s v="Canada"/>
    <s v="Montreal"/>
    <s v="Quebec"/>
    <x v="0"/>
    <x v="1"/>
    <x v="2"/>
    <s v="Product A"/>
    <n v="395.37"/>
    <n v="8"/>
    <n v="-83.07"/>
  </r>
  <r>
    <n v="645"/>
    <d v="2023-08-17T00:00:00"/>
    <x v="5"/>
    <x v="8"/>
    <d v="2023-08-22T00:00:00"/>
    <n v="5"/>
    <x v="0"/>
    <s v="Customer 119"/>
    <x v="2"/>
    <s v="Canada"/>
    <s v="Montreal"/>
    <s v="Quebec"/>
    <x v="0"/>
    <x v="2"/>
    <x v="5"/>
    <s v="Product B"/>
    <n v="345.47"/>
    <n v="8"/>
    <n v="35.770000000000003"/>
  </r>
  <r>
    <n v="646"/>
    <d v="2022-09-11T00:00:00"/>
    <x v="2"/>
    <x v="6"/>
    <d v="2022-09-13T00:00:00"/>
    <n v="2"/>
    <x v="2"/>
    <s v="Customer 89"/>
    <x v="0"/>
    <s v="Canada"/>
    <s v="Vancouver"/>
    <s v="British Columbia"/>
    <x v="2"/>
    <x v="0"/>
    <x v="0"/>
    <s v="Product A"/>
    <n v="187.99"/>
    <n v="6"/>
    <n v="-16.27"/>
  </r>
  <r>
    <n v="647"/>
    <d v="2024-10-06T00:00:00"/>
    <x v="1"/>
    <x v="3"/>
    <d v="2024-10-09T00:00:00"/>
    <n v="3"/>
    <x v="2"/>
    <s v="Customer 296"/>
    <x v="2"/>
    <s v="Canada"/>
    <s v="Montreal"/>
    <s v="Quebec"/>
    <x v="0"/>
    <x v="2"/>
    <x v="5"/>
    <s v="Product C"/>
    <n v="404.66"/>
    <n v="7"/>
    <n v="192.41"/>
  </r>
  <r>
    <n v="648"/>
    <d v="2025-03-23T00:00:00"/>
    <x v="0"/>
    <x v="5"/>
    <d v="2025-03-28T00:00:00"/>
    <n v="5"/>
    <x v="2"/>
    <s v="Customer 67"/>
    <x v="0"/>
    <s v="Canada"/>
    <s v="Vancouver"/>
    <s v="British Columbia"/>
    <x v="2"/>
    <x v="1"/>
    <x v="3"/>
    <s v="Product D"/>
    <n v="454.82"/>
    <n v="3"/>
    <n v="-4.51"/>
  </r>
  <r>
    <n v="649"/>
    <d v="2020-03-13T00:00:00"/>
    <x v="3"/>
    <x v="5"/>
    <d v="2020-03-20T00:00:00"/>
    <n v="7"/>
    <x v="2"/>
    <s v="Customer 71"/>
    <x v="0"/>
    <s v="Canada"/>
    <s v="Toronto"/>
    <s v="Ontario"/>
    <x v="0"/>
    <x v="0"/>
    <x v="1"/>
    <s v="Product B"/>
    <n v="305.69"/>
    <n v="5"/>
    <n v="130.19999999999999"/>
  </r>
  <r>
    <n v="650"/>
    <d v="2021-03-08T00:00:00"/>
    <x v="4"/>
    <x v="5"/>
    <d v="2021-03-18T00:00:00"/>
    <n v="10"/>
    <x v="2"/>
    <s v="Customer 113"/>
    <x v="2"/>
    <s v="Canada"/>
    <s v="Toronto"/>
    <s v="Ontario"/>
    <x v="0"/>
    <x v="1"/>
    <x v="2"/>
    <s v="Product A"/>
    <n v="245.79"/>
    <n v="2"/>
    <n v="91.14"/>
  </r>
  <r>
    <n v="651"/>
    <d v="2024-03-10T00:00:00"/>
    <x v="1"/>
    <x v="5"/>
    <d v="2024-03-18T00:00:00"/>
    <n v="8"/>
    <x v="3"/>
    <s v="Customer 161"/>
    <x v="0"/>
    <s v="Canada"/>
    <s v="Montreal"/>
    <s v="Quebec"/>
    <x v="0"/>
    <x v="2"/>
    <x v="5"/>
    <s v="Product A"/>
    <n v="80.06"/>
    <n v="2"/>
    <n v="-20.6"/>
  </r>
  <r>
    <n v="652"/>
    <d v="2020-09-08T00:00:00"/>
    <x v="3"/>
    <x v="6"/>
    <d v="2020-09-12T00:00:00"/>
    <n v="4"/>
    <x v="3"/>
    <s v="Customer 38"/>
    <x v="2"/>
    <s v="Canada"/>
    <s v="Vancouver"/>
    <s v="British Columbia"/>
    <x v="2"/>
    <x v="1"/>
    <x v="3"/>
    <s v="Product C"/>
    <n v="283.11"/>
    <n v="3"/>
    <n v="71.13"/>
  </r>
  <r>
    <n v="653"/>
    <d v="2021-05-16T00:00:00"/>
    <x v="4"/>
    <x v="0"/>
    <d v="2021-05-23T00:00:00"/>
    <n v="7"/>
    <x v="2"/>
    <s v="Customer 158"/>
    <x v="2"/>
    <s v="India"/>
    <s v="Delhi"/>
    <s v="Delhi"/>
    <x v="4"/>
    <x v="2"/>
    <x v="5"/>
    <s v="Product A"/>
    <n v="197.04"/>
    <n v="8"/>
    <n v="8.61"/>
  </r>
  <r>
    <n v="654"/>
    <d v="2022-06-29T00:00:00"/>
    <x v="2"/>
    <x v="2"/>
    <d v="2022-07-05T00:00:00"/>
    <n v="6"/>
    <x v="0"/>
    <s v="Customer 91"/>
    <x v="1"/>
    <s v="India"/>
    <s v="Mumbai"/>
    <s v="Maharashtra"/>
    <x v="2"/>
    <x v="2"/>
    <x v="4"/>
    <s v="Product C"/>
    <n v="137.15"/>
    <n v="1"/>
    <n v="60.38"/>
  </r>
  <r>
    <n v="655"/>
    <d v="2023-11-02T00:00:00"/>
    <x v="5"/>
    <x v="11"/>
    <d v="2023-11-05T00:00:00"/>
    <n v="3"/>
    <x v="1"/>
    <s v="Customer 157"/>
    <x v="1"/>
    <s v="India"/>
    <s v="Mumbai"/>
    <s v="Maharashtra"/>
    <x v="2"/>
    <x v="1"/>
    <x v="2"/>
    <s v="Product C"/>
    <n v="150.86000000000001"/>
    <n v="4"/>
    <n v="13.01"/>
  </r>
  <r>
    <n v="656"/>
    <d v="2025-07-23T00:00:00"/>
    <x v="0"/>
    <x v="1"/>
    <d v="2025-07-25T00:00:00"/>
    <n v="2"/>
    <x v="1"/>
    <s v="Customer 248"/>
    <x v="1"/>
    <s v="Canada"/>
    <s v="Toronto"/>
    <s v="Ontario"/>
    <x v="0"/>
    <x v="2"/>
    <x v="4"/>
    <s v="Product D"/>
    <n v="147.97999999999999"/>
    <n v="6"/>
    <n v="-28.13"/>
  </r>
  <r>
    <n v="657"/>
    <d v="2023-06-08T00:00:00"/>
    <x v="5"/>
    <x v="2"/>
    <d v="2023-06-10T00:00:00"/>
    <n v="2"/>
    <x v="0"/>
    <s v="Customer 151"/>
    <x v="2"/>
    <s v="USA"/>
    <s v="New York"/>
    <s v="New York"/>
    <x v="0"/>
    <x v="2"/>
    <x v="5"/>
    <s v="Product B"/>
    <n v="183.91"/>
    <n v="2"/>
    <n v="10.85"/>
  </r>
  <r>
    <n v="658"/>
    <d v="2023-03-08T00:00:00"/>
    <x v="5"/>
    <x v="5"/>
    <d v="2023-03-09T00:00:00"/>
    <n v="1"/>
    <x v="0"/>
    <s v="Customer 147"/>
    <x v="0"/>
    <s v="Canada"/>
    <s v="Montreal"/>
    <s v="Quebec"/>
    <x v="0"/>
    <x v="0"/>
    <x v="0"/>
    <s v="Product C"/>
    <n v="242.78"/>
    <n v="2"/>
    <n v="24.54"/>
  </r>
  <r>
    <n v="659"/>
    <d v="2024-03-09T00:00:00"/>
    <x v="1"/>
    <x v="5"/>
    <d v="2024-03-18T00:00:00"/>
    <n v="9"/>
    <x v="3"/>
    <s v="Customer 171"/>
    <x v="0"/>
    <s v="India"/>
    <s v="Mumbai"/>
    <s v="Maharashtra"/>
    <x v="2"/>
    <x v="1"/>
    <x v="3"/>
    <s v="Product D"/>
    <n v="146.88999999999999"/>
    <n v="10"/>
    <n v="37.49"/>
  </r>
  <r>
    <n v="660"/>
    <d v="2023-07-25T00:00:00"/>
    <x v="5"/>
    <x v="1"/>
    <d v="2023-07-26T00:00:00"/>
    <n v="1"/>
    <x v="2"/>
    <s v="Customer 36"/>
    <x v="0"/>
    <s v="USA"/>
    <s v="New York"/>
    <s v="New York"/>
    <x v="0"/>
    <x v="0"/>
    <x v="0"/>
    <s v="Product C"/>
    <n v="171.81"/>
    <n v="8"/>
    <n v="84.81"/>
  </r>
  <r>
    <n v="661"/>
    <d v="2025-08-06T00:00:00"/>
    <x v="0"/>
    <x v="8"/>
    <d v="2025-08-10T00:00:00"/>
    <n v="4"/>
    <x v="0"/>
    <s v="Customer 234"/>
    <x v="2"/>
    <s v="USA"/>
    <s v="Los Angeles"/>
    <s v="California"/>
    <x v="2"/>
    <x v="1"/>
    <x v="2"/>
    <s v="Product C"/>
    <n v="458.42"/>
    <n v="2"/>
    <n v="89.06"/>
  </r>
  <r>
    <n v="662"/>
    <d v="2021-11-30T00:00:00"/>
    <x v="4"/>
    <x v="11"/>
    <d v="2021-12-09T00:00:00"/>
    <n v="9"/>
    <x v="3"/>
    <s v="Customer 232"/>
    <x v="2"/>
    <s v="Canada"/>
    <s v="Montreal"/>
    <s v="Quebec"/>
    <x v="0"/>
    <x v="0"/>
    <x v="1"/>
    <s v="Product C"/>
    <n v="206.02"/>
    <n v="6"/>
    <n v="91.53"/>
  </r>
  <r>
    <n v="663"/>
    <d v="2021-04-15T00:00:00"/>
    <x v="4"/>
    <x v="7"/>
    <d v="2021-04-16T00:00:00"/>
    <n v="1"/>
    <x v="0"/>
    <s v="Customer 155"/>
    <x v="1"/>
    <s v="USA"/>
    <s v="New York"/>
    <s v="New York"/>
    <x v="0"/>
    <x v="0"/>
    <x v="0"/>
    <s v="Product D"/>
    <n v="20.059999999999999"/>
    <n v="7"/>
    <n v="6.03"/>
  </r>
  <r>
    <n v="664"/>
    <d v="2025-10-22T00:00:00"/>
    <x v="0"/>
    <x v="3"/>
    <d v="2025-10-28T00:00:00"/>
    <n v="6"/>
    <x v="2"/>
    <s v="Customer 72"/>
    <x v="1"/>
    <s v="USA"/>
    <s v="Chicago"/>
    <s v="Illinois"/>
    <x v="3"/>
    <x v="2"/>
    <x v="5"/>
    <s v="Product C"/>
    <n v="432.08"/>
    <n v="8"/>
    <n v="-107.29"/>
  </r>
  <r>
    <n v="665"/>
    <d v="2022-07-25T00:00:00"/>
    <x v="2"/>
    <x v="1"/>
    <d v="2022-07-28T00:00:00"/>
    <n v="3"/>
    <x v="2"/>
    <s v="Customer 71"/>
    <x v="0"/>
    <s v="Canada"/>
    <s v="Vancouver"/>
    <s v="British Columbia"/>
    <x v="2"/>
    <x v="1"/>
    <x v="2"/>
    <s v="Product D"/>
    <n v="247.53"/>
    <n v="10"/>
    <n v="115.1"/>
  </r>
  <r>
    <n v="666"/>
    <d v="2020-04-29T00:00:00"/>
    <x v="3"/>
    <x v="7"/>
    <d v="2020-05-03T00:00:00"/>
    <n v="4"/>
    <x v="3"/>
    <s v="Customer 101"/>
    <x v="2"/>
    <s v="USA"/>
    <s v="New York"/>
    <s v="New York"/>
    <x v="0"/>
    <x v="2"/>
    <x v="5"/>
    <s v="Product B"/>
    <n v="325.08"/>
    <n v="8"/>
    <n v="89.66"/>
  </r>
  <r>
    <n v="667"/>
    <d v="2020-02-25T00:00:00"/>
    <x v="3"/>
    <x v="9"/>
    <d v="2020-03-05T00:00:00"/>
    <n v="9"/>
    <x v="0"/>
    <s v="Customer 183"/>
    <x v="0"/>
    <s v="India"/>
    <s v="Bangalore"/>
    <s v="Karnataka"/>
    <x v="1"/>
    <x v="1"/>
    <x v="2"/>
    <s v="Product C"/>
    <n v="137.13999999999999"/>
    <n v="10"/>
    <n v="18.87"/>
  </r>
  <r>
    <n v="668"/>
    <d v="2023-08-31T00:00:00"/>
    <x v="5"/>
    <x v="8"/>
    <d v="2023-09-08T00:00:00"/>
    <n v="8"/>
    <x v="3"/>
    <s v="Customer 58"/>
    <x v="1"/>
    <s v="India"/>
    <s v="Delhi"/>
    <s v="Delhi"/>
    <x v="4"/>
    <x v="1"/>
    <x v="2"/>
    <s v="Product B"/>
    <n v="47.58"/>
    <n v="9"/>
    <n v="-6.4"/>
  </r>
  <r>
    <n v="669"/>
    <d v="2022-08-21T00:00:00"/>
    <x v="2"/>
    <x v="8"/>
    <d v="2022-08-28T00:00:00"/>
    <n v="7"/>
    <x v="0"/>
    <s v="Customer 222"/>
    <x v="0"/>
    <s v="USA"/>
    <s v="Chicago"/>
    <s v="Illinois"/>
    <x v="3"/>
    <x v="2"/>
    <x v="4"/>
    <s v="Product C"/>
    <n v="126.24"/>
    <n v="9"/>
    <n v="-16.239999999999998"/>
  </r>
  <r>
    <n v="670"/>
    <d v="2020-07-04T00:00:00"/>
    <x v="3"/>
    <x v="1"/>
    <d v="2020-07-09T00:00:00"/>
    <n v="5"/>
    <x v="1"/>
    <s v="Customer 103"/>
    <x v="2"/>
    <s v="USA"/>
    <s v="Chicago"/>
    <s v="Illinois"/>
    <x v="3"/>
    <x v="0"/>
    <x v="1"/>
    <s v="Product D"/>
    <n v="181"/>
    <n v="3"/>
    <n v="8.57"/>
  </r>
  <r>
    <n v="671"/>
    <d v="2025-04-17T00:00:00"/>
    <x v="0"/>
    <x v="7"/>
    <d v="2025-04-27T00:00:00"/>
    <n v="10"/>
    <x v="2"/>
    <s v="Customer 96"/>
    <x v="1"/>
    <s v="USA"/>
    <s v="Chicago"/>
    <s v="Illinois"/>
    <x v="3"/>
    <x v="1"/>
    <x v="2"/>
    <s v="Product C"/>
    <n v="406.75"/>
    <n v="8"/>
    <n v="110.79"/>
  </r>
  <r>
    <n v="672"/>
    <d v="2022-06-10T00:00:00"/>
    <x v="2"/>
    <x v="2"/>
    <d v="2022-06-15T00:00:00"/>
    <n v="5"/>
    <x v="3"/>
    <s v="Customer 176"/>
    <x v="1"/>
    <s v="India"/>
    <s v="Bangalore"/>
    <s v="Karnataka"/>
    <x v="1"/>
    <x v="0"/>
    <x v="0"/>
    <s v="Product B"/>
    <n v="453.38"/>
    <n v="3"/>
    <n v="-76.66"/>
  </r>
  <r>
    <n v="673"/>
    <d v="2025-08-15T00:00:00"/>
    <x v="0"/>
    <x v="8"/>
    <d v="2025-08-20T00:00:00"/>
    <n v="5"/>
    <x v="0"/>
    <s v="Customer 277"/>
    <x v="1"/>
    <s v="Canada"/>
    <s v="Toronto"/>
    <s v="Ontario"/>
    <x v="0"/>
    <x v="1"/>
    <x v="3"/>
    <s v="Product B"/>
    <n v="213.21"/>
    <n v="1"/>
    <n v="-33.72"/>
  </r>
  <r>
    <n v="674"/>
    <d v="2025-06-09T00:00:00"/>
    <x v="0"/>
    <x v="2"/>
    <d v="2025-06-10T00:00:00"/>
    <n v="1"/>
    <x v="0"/>
    <s v="Customer 40"/>
    <x v="2"/>
    <s v="India"/>
    <s v="Mumbai"/>
    <s v="Maharashtra"/>
    <x v="2"/>
    <x v="2"/>
    <x v="5"/>
    <s v="Product B"/>
    <n v="233.15"/>
    <n v="9"/>
    <n v="94.27"/>
  </r>
  <r>
    <n v="675"/>
    <d v="2025-05-13T00:00:00"/>
    <x v="0"/>
    <x v="0"/>
    <d v="2025-05-20T00:00:00"/>
    <n v="7"/>
    <x v="3"/>
    <s v="Customer 269"/>
    <x v="1"/>
    <s v="USA"/>
    <s v="Los Angeles"/>
    <s v="California"/>
    <x v="2"/>
    <x v="0"/>
    <x v="0"/>
    <s v="Product B"/>
    <n v="49.08"/>
    <n v="8"/>
    <n v="22.9"/>
  </r>
  <r>
    <n v="676"/>
    <d v="2023-09-10T00:00:00"/>
    <x v="5"/>
    <x v="6"/>
    <d v="2023-09-13T00:00:00"/>
    <n v="3"/>
    <x v="3"/>
    <s v="Customer 252"/>
    <x v="0"/>
    <s v="Canada"/>
    <s v="Montreal"/>
    <s v="Quebec"/>
    <x v="0"/>
    <x v="0"/>
    <x v="1"/>
    <s v="Product B"/>
    <n v="453.65"/>
    <n v="8"/>
    <n v="-6.34"/>
  </r>
  <r>
    <n v="677"/>
    <d v="2023-03-07T00:00:00"/>
    <x v="5"/>
    <x v="5"/>
    <d v="2023-03-10T00:00:00"/>
    <n v="3"/>
    <x v="3"/>
    <s v="Customer 185"/>
    <x v="0"/>
    <s v="Canada"/>
    <s v="Montreal"/>
    <s v="Quebec"/>
    <x v="0"/>
    <x v="0"/>
    <x v="1"/>
    <s v="Product B"/>
    <n v="423.86"/>
    <n v="10"/>
    <n v="-81.62"/>
  </r>
  <r>
    <n v="678"/>
    <d v="2023-10-13T00:00:00"/>
    <x v="5"/>
    <x v="3"/>
    <d v="2023-10-19T00:00:00"/>
    <n v="6"/>
    <x v="2"/>
    <s v="Customer 30"/>
    <x v="0"/>
    <s v="India"/>
    <s v="Delhi"/>
    <s v="Delhi"/>
    <x v="4"/>
    <x v="2"/>
    <x v="5"/>
    <s v="Product C"/>
    <n v="192.98"/>
    <n v="10"/>
    <n v="-38.79"/>
  </r>
  <r>
    <n v="679"/>
    <d v="2022-04-15T00:00:00"/>
    <x v="2"/>
    <x v="7"/>
    <d v="2022-04-25T00:00:00"/>
    <n v="10"/>
    <x v="0"/>
    <s v="Customer 206"/>
    <x v="1"/>
    <s v="India"/>
    <s v="Mumbai"/>
    <s v="Maharashtra"/>
    <x v="2"/>
    <x v="1"/>
    <x v="2"/>
    <s v="Product C"/>
    <n v="73.02"/>
    <n v="4"/>
    <n v="14.2"/>
  </r>
  <r>
    <n v="680"/>
    <d v="2021-02-24T00:00:00"/>
    <x v="4"/>
    <x v="9"/>
    <d v="2021-03-03T00:00:00"/>
    <n v="7"/>
    <x v="1"/>
    <s v="Customer 11"/>
    <x v="2"/>
    <s v="USA"/>
    <s v="Los Angeles"/>
    <s v="California"/>
    <x v="2"/>
    <x v="0"/>
    <x v="1"/>
    <s v="Product A"/>
    <n v="478.1"/>
    <n v="9"/>
    <n v="-67.63"/>
  </r>
  <r>
    <n v="681"/>
    <d v="2022-11-25T00:00:00"/>
    <x v="2"/>
    <x v="11"/>
    <d v="2022-11-28T00:00:00"/>
    <n v="3"/>
    <x v="2"/>
    <s v="Customer 105"/>
    <x v="1"/>
    <s v="India"/>
    <s v="Bangalore"/>
    <s v="Karnataka"/>
    <x v="1"/>
    <x v="0"/>
    <x v="1"/>
    <s v="Product A"/>
    <n v="464.53"/>
    <n v="10"/>
    <n v="8.18"/>
  </r>
  <r>
    <n v="682"/>
    <d v="2022-10-23T00:00:00"/>
    <x v="2"/>
    <x v="3"/>
    <d v="2022-10-24T00:00:00"/>
    <n v="1"/>
    <x v="3"/>
    <s v="Customer 149"/>
    <x v="2"/>
    <s v="Canada"/>
    <s v="Toronto"/>
    <s v="Ontario"/>
    <x v="0"/>
    <x v="2"/>
    <x v="5"/>
    <s v="Product B"/>
    <n v="49.79"/>
    <n v="4"/>
    <n v="-9.33"/>
  </r>
  <r>
    <n v="683"/>
    <d v="2025-10-14T00:00:00"/>
    <x v="0"/>
    <x v="3"/>
    <d v="2025-10-19T00:00:00"/>
    <n v="5"/>
    <x v="3"/>
    <s v="Customer 131"/>
    <x v="0"/>
    <s v="USA"/>
    <s v="New York"/>
    <s v="New York"/>
    <x v="0"/>
    <x v="1"/>
    <x v="2"/>
    <s v="Product B"/>
    <n v="284.77"/>
    <n v="6"/>
    <n v="129.76"/>
  </r>
  <r>
    <n v="684"/>
    <d v="2025-05-20T00:00:00"/>
    <x v="0"/>
    <x v="0"/>
    <d v="2025-05-21T00:00:00"/>
    <n v="1"/>
    <x v="3"/>
    <s v="Customer 205"/>
    <x v="2"/>
    <s v="India"/>
    <s v="Delhi"/>
    <s v="Delhi"/>
    <x v="4"/>
    <x v="2"/>
    <x v="4"/>
    <s v="Product A"/>
    <n v="187.71"/>
    <n v="9"/>
    <n v="74.16"/>
  </r>
  <r>
    <n v="685"/>
    <d v="2021-04-03T00:00:00"/>
    <x v="4"/>
    <x v="7"/>
    <d v="2021-04-06T00:00:00"/>
    <n v="3"/>
    <x v="0"/>
    <s v="Customer 251"/>
    <x v="2"/>
    <s v="Canada"/>
    <s v="Montreal"/>
    <s v="Quebec"/>
    <x v="0"/>
    <x v="1"/>
    <x v="2"/>
    <s v="Product C"/>
    <n v="455.62"/>
    <n v="1"/>
    <n v="120.47"/>
  </r>
  <r>
    <n v="686"/>
    <d v="2025-05-06T00:00:00"/>
    <x v="0"/>
    <x v="0"/>
    <d v="2025-05-11T00:00:00"/>
    <n v="5"/>
    <x v="2"/>
    <s v="Customer 5"/>
    <x v="0"/>
    <s v="Canada"/>
    <s v="Toronto"/>
    <s v="Ontario"/>
    <x v="0"/>
    <x v="2"/>
    <x v="4"/>
    <s v="Product C"/>
    <n v="92.25"/>
    <n v="4"/>
    <n v="-21.42"/>
  </r>
  <r>
    <n v="687"/>
    <d v="2023-09-07T00:00:00"/>
    <x v="5"/>
    <x v="6"/>
    <d v="2023-09-12T00:00:00"/>
    <n v="5"/>
    <x v="2"/>
    <s v="Customer 58"/>
    <x v="1"/>
    <s v="USA"/>
    <s v="Chicago"/>
    <s v="Illinois"/>
    <x v="3"/>
    <x v="2"/>
    <x v="4"/>
    <s v="Product C"/>
    <n v="33.07"/>
    <n v="10"/>
    <n v="-9.56"/>
  </r>
  <r>
    <n v="688"/>
    <d v="2023-08-04T00:00:00"/>
    <x v="5"/>
    <x v="8"/>
    <d v="2023-08-06T00:00:00"/>
    <n v="2"/>
    <x v="0"/>
    <s v="Customer 53"/>
    <x v="1"/>
    <s v="India"/>
    <s v="Mumbai"/>
    <s v="Maharashtra"/>
    <x v="2"/>
    <x v="1"/>
    <x v="3"/>
    <s v="Product A"/>
    <n v="113.54"/>
    <n v="9"/>
    <n v="28.33"/>
  </r>
  <r>
    <n v="689"/>
    <d v="2020-07-09T00:00:00"/>
    <x v="3"/>
    <x v="1"/>
    <d v="2020-07-13T00:00:00"/>
    <n v="4"/>
    <x v="1"/>
    <s v="Customer 71"/>
    <x v="2"/>
    <s v="Canada"/>
    <s v="Vancouver"/>
    <s v="British Columbia"/>
    <x v="2"/>
    <x v="0"/>
    <x v="0"/>
    <s v="Product B"/>
    <n v="49.16"/>
    <n v="1"/>
    <n v="-9.4"/>
  </r>
  <r>
    <n v="690"/>
    <d v="2020-11-03T00:00:00"/>
    <x v="3"/>
    <x v="11"/>
    <d v="2020-11-09T00:00:00"/>
    <n v="6"/>
    <x v="3"/>
    <s v="Customer 55"/>
    <x v="0"/>
    <s v="Canada"/>
    <s v="Toronto"/>
    <s v="Ontario"/>
    <x v="0"/>
    <x v="1"/>
    <x v="3"/>
    <s v="Product D"/>
    <n v="378.94"/>
    <n v="10"/>
    <n v="134.69999999999999"/>
  </r>
  <r>
    <n v="691"/>
    <d v="2025-11-20T00:00:00"/>
    <x v="0"/>
    <x v="11"/>
    <d v="2025-11-23T00:00:00"/>
    <n v="3"/>
    <x v="3"/>
    <s v="Customer 115"/>
    <x v="0"/>
    <s v="Canada"/>
    <s v="Vancouver"/>
    <s v="British Columbia"/>
    <x v="2"/>
    <x v="2"/>
    <x v="5"/>
    <s v="Product D"/>
    <n v="76.08"/>
    <n v="3"/>
    <n v="-2.34"/>
  </r>
  <r>
    <n v="692"/>
    <d v="2025-04-15T00:00:00"/>
    <x v="0"/>
    <x v="7"/>
    <d v="2025-04-18T00:00:00"/>
    <n v="3"/>
    <x v="1"/>
    <s v="Customer 245"/>
    <x v="2"/>
    <s v="USA"/>
    <s v="Los Angeles"/>
    <s v="California"/>
    <x v="2"/>
    <x v="1"/>
    <x v="2"/>
    <s v="Product C"/>
    <n v="316.39"/>
    <n v="10"/>
    <n v="121.89"/>
  </r>
  <r>
    <n v="693"/>
    <d v="2023-06-20T00:00:00"/>
    <x v="5"/>
    <x v="2"/>
    <d v="2023-06-26T00:00:00"/>
    <n v="6"/>
    <x v="3"/>
    <s v="Customer 180"/>
    <x v="1"/>
    <s v="India"/>
    <s v="Bangalore"/>
    <s v="Karnataka"/>
    <x v="1"/>
    <x v="1"/>
    <x v="2"/>
    <s v="Product D"/>
    <n v="168.14"/>
    <n v="1"/>
    <n v="11.28"/>
  </r>
  <r>
    <n v="694"/>
    <d v="2022-08-30T00:00:00"/>
    <x v="2"/>
    <x v="8"/>
    <d v="2022-09-08T00:00:00"/>
    <n v="9"/>
    <x v="0"/>
    <s v="Customer 71"/>
    <x v="1"/>
    <s v="Canada"/>
    <s v="Vancouver"/>
    <s v="British Columbia"/>
    <x v="2"/>
    <x v="2"/>
    <x v="5"/>
    <s v="Product D"/>
    <n v="156.46"/>
    <n v="7"/>
    <n v="39.42"/>
  </r>
  <r>
    <n v="695"/>
    <d v="2022-09-11T00:00:00"/>
    <x v="2"/>
    <x v="6"/>
    <d v="2022-09-21T00:00:00"/>
    <n v="10"/>
    <x v="2"/>
    <s v="Customer 95"/>
    <x v="1"/>
    <s v="USA"/>
    <s v="Chicago"/>
    <s v="Illinois"/>
    <x v="3"/>
    <x v="2"/>
    <x v="5"/>
    <s v="Product C"/>
    <n v="112.23"/>
    <n v="4"/>
    <n v="52.19"/>
  </r>
  <r>
    <n v="696"/>
    <d v="2023-10-21T00:00:00"/>
    <x v="5"/>
    <x v="3"/>
    <d v="2023-10-30T00:00:00"/>
    <n v="9"/>
    <x v="1"/>
    <s v="Customer 167"/>
    <x v="1"/>
    <s v="India"/>
    <s v="Delhi"/>
    <s v="Delhi"/>
    <x v="4"/>
    <x v="2"/>
    <x v="4"/>
    <s v="Product B"/>
    <n v="437.35"/>
    <n v="9"/>
    <n v="56.72"/>
  </r>
  <r>
    <n v="697"/>
    <d v="2024-11-01T00:00:00"/>
    <x v="1"/>
    <x v="11"/>
    <d v="2024-11-03T00:00:00"/>
    <n v="2"/>
    <x v="1"/>
    <s v="Customer 226"/>
    <x v="1"/>
    <s v="Canada"/>
    <s v="Vancouver"/>
    <s v="British Columbia"/>
    <x v="2"/>
    <x v="1"/>
    <x v="2"/>
    <s v="Product C"/>
    <n v="124.78"/>
    <n v="1"/>
    <n v="51.72"/>
  </r>
  <r>
    <n v="698"/>
    <d v="2023-01-17T00:00:00"/>
    <x v="5"/>
    <x v="4"/>
    <d v="2023-01-19T00:00:00"/>
    <n v="2"/>
    <x v="3"/>
    <s v="Customer 193"/>
    <x v="1"/>
    <s v="India"/>
    <s v="Delhi"/>
    <s v="Delhi"/>
    <x v="4"/>
    <x v="2"/>
    <x v="4"/>
    <s v="Product D"/>
    <n v="291.8"/>
    <n v="3"/>
    <n v="-57.06"/>
  </r>
  <r>
    <n v="699"/>
    <d v="2025-03-10T00:00:00"/>
    <x v="0"/>
    <x v="5"/>
    <d v="2025-03-16T00:00:00"/>
    <n v="6"/>
    <x v="1"/>
    <s v="Customer 103"/>
    <x v="2"/>
    <s v="India"/>
    <s v="Bangalore"/>
    <s v="Karnataka"/>
    <x v="1"/>
    <x v="0"/>
    <x v="0"/>
    <s v="Product A"/>
    <n v="71.599999999999994"/>
    <n v="10"/>
    <n v="14.55"/>
  </r>
  <r>
    <n v="700"/>
    <d v="2025-04-04T00:00:00"/>
    <x v="0"/>
    <x v="7"/>
    <d v="2025-04-11T00:00:00"/>
    <n v="7"/>
    <x v="3"/>
    <s v="Customer 174"/>
    <x v="2"/>
    <s v="USA"/>
    <s v="Chicago"/>
    <s v="Illinois"/>
    <x v="3"/>
    <x v="2"/>
    <x v="4"/>
    <s v="Product D"/>
    <n v="301.01"/>
    <n v="1"/>
    <n v="66.16"/>
  </r>
  <r>
    <n v="701"/>
    <d v="2020-05-24T00:00:00"/>
    <x v="3"/>
    <x v="0"/>
    <d v="2020-05-31T00:00:00"/>
    <n v="7"/>
    <x v="2"/>
    <s v="Customer 264"/>
    <x v="1"/>
    <s v="USA"/>
    <s v="Los Angeles"/>
    <s v="California"/>
    <x v="2"/>
    <x v="1"/>
    <x v="2"/>
    <s v="Product A"/>
    <n v="294.36"/>
    <n v="7"/>
    <n v="-29.98"/>
  </r>
  <r>
    <n v="702"/>
    <d v="2025-04-08T00:00:00"/>
    <x v="0"/>
    <x v="7"/>
    <d v="2025-04-16T00:00:00"/>
    <n v="8"/>
    <x v="2"/>
    <s v="Customer 192"/>
    <x v="0"/>
    <s v="Canada"/>
    <s v="Vancouver"/>
    <s v="British Columbia"/>
    <x v="2"/>
    <x v="2"/>
    <x v="4"/>
    <s v="Product B"/>
    <n v="98.44"/>
    <n v="5"/>
    <n v="5.23"/>
  </r>
  <r>
    <n v="703"/>
    <d v="2020-01-18T00:00:00"/>
    <x v="3"/>
    <x v="4"/>
    <d v="2020-01-24T00:00:00"/>
    <n v="6"/>
    <x v="0"/>
    <s v="Customer 17"/>
    <x v="2"/>
    <s v="USA"/>
    <s v="Los Angeles"/>
    <s v="California"/>
    <x v="2"/>
    <x v="2"/>
    <x v="5"/>
    <s v="Product D"/>
    <n v="469.01"/>
    <n v="7"/>
    <n v="-65.8"/>
  </r>
  <r>
    <n v="704"/>
    <d v="2021-11-10T00:00:00"/>
    <x v="4"/>
    <x v="11"/>
    <d v="2021-11-19T00:00:00"/>
    <n v="9"/>
    <x v="1"/>
    <s v="Customer 88"/>
    <x v="1"/>
    <s v="Canada"/>
    <s v="Vancouver"/>
    <s v="British Columbia"/>
    <x v="2"/>
    <x v="1"/>
    <x v="3"/>
    <s v="Product C"/>
    <n v="476.86"/>
    <n v="10"/>
    <n v="144.9"/>
  </r>
  <r>
    <n v="705"/>
    <d v="2023-11-30T00:00:00"/>
    <x v="5"/>
    <x v="11"/>
    <d v="2023-12-07T00:00:00"/>
    <n v="7"/>
    <x v="0"/>
    <s v="Customer 292"/>
    <x v="1"/>
    <s v="India"/>
    <s v="Delhi"/>
    <s v="Delhi"/>
    <x v="4"/>
    <x v="2"/>
    <x v="5"/>
    <s v="Product B"/>
    <n v="164.87"/>
    <n v="10"/>
    <n v="-41.72"/>
  </r>
  <r>
    <n v="706"/>
    <d v="2021-02-21T00:00:00"/>
    <x v="4"/>
    <x v="9"/>
    <d v="2021-02-24T00:00:00"/>
    <n v="3"/>
    <x v="3"/>
    <s v="Customer 298"/>
    <x v="0"/>
    <s v="India"/>
    <s v="Bangalore"/>
    <s v="Karnataka"/>
    <x v="1"/>
    <x v="0"/>
    <x v="1"/>
    <s v="Product B"/>
    <n v="476.08"/>
    <n v="8"/>
    <n v="170"/>
  </r>
  <r>
    <n v="707"/>
    <d v="2023-11-28T00:00:00"/>
    <x v="5"/>
    <x v="11"/>
    <d v="2023-11-29T00:00:00"/>
    <n v="1"/>
    <x v="3"/>
    <s v="Customer 76"/>
    <x v="2"/>
    <s v="India"/>
    <s v="Bangalore"/>
    <s v="Karnataka"/>
    <x v="1"/>
    <x v="2"/>
    <x v="4"/>
    <s v="Product D"/>
    <n v="244.75"/>
    <n v="5"/>
    <n v="-36.74"/>
  </r>
  <r>
    <n v="708"/>
    <d v="2024-07-17T00:00:00"/>
    <x v="1"/>
    <x v="1"/>
    <d v="2024-07-22T00:00:00"/>
    <n v="5"/>
    <x v="1"/>
    <s v="Customer 88"/>
    <x v="2"/>
    <s v="USA"/>
    <s v="Los Angeles"/>
    <s v="California"/>
    <x v="2"/>
    <x v="0"/>
    <x v="1"/>
    <s v="Product B"/>
    <n v="257.22000000000003"/>
    <n v="1"/>
    <n v="50.88"/>
  </r>
  <r>
    <n v="709"/>
    <d v="2023-11-01T00:00:00"/>
    <x v="5"/>
    <x v="11"/>
    <d v="2023-11-09T00:00:00"/>
    <n v="8"/>
    <x v="1"/>
    <s v="Customer 75"/>
    <x v="0"/>
    <s v="USA"/>
    <s v="Chicago"/>
    <s v="Illinois"/>
    <x v="3"/>
    <x v="0"/>
    <x v="0"/>
    <s v="Product B"/>
    <n v="109.43"/>
    <n v="7"/>
    <n v="-7.08"/>
  </r>
  <r>
    <n v="710"/>
    <d v="2023-07-09T00:00:00"/>
    <x v="5"/>
    <x v="1"/>
    <d v="2023-07-14T00:00:00"/>
    <n v="5"/>
    <x v="0"/>
    <s v="Customer 16"/>
    <x v="0"/>
    <s v="USA"/>
    <s v="Los Angeles"/>
    <s v="California"/>
    <x v="2"/>
    <x v="0"/>
    <x v="0"/>
    <s v="Product D"/>
    <n v="280.16000000000003"/>
    <n v="7"/>
    <n v="-18.5"/>
  </r>
  <r>
    <n v="711"/>
    <d v="2023-12-14T00:00:00"/>
    <x v="5"/>
    <x v="10"/>
    <d v="2023-12-17T00:00:00"/>
    <n v="3"/>
    <x v="3"/>
    <s v="Customer 149"/>
    <x v="0"/>
    <s v="USA"/>
    <s v="Chicago"/>
    <s v="Illinois"/>
    <x v="3"/>
    <x v="1"/>
    <x v="3"/>
    <s v="Product A"/>
    <n v="52.67"/>
    <n v="2"/>
    <n v="26.21"/>
  </r>
  <r>
    <n v="712"/>
    <d v="2020-08-02T00:00:00"/>
    <x v="3"/>
    <x v="8"/>
    <d v="2020-08-10T00:00:00"/>
    <n v="8"/>
    <x v="2"/>
    <s v="Customer 164"/>
    <x v="2"/>
    <s v="USA"/>
    <s v="New York"/>
    <s v="New York"/>
    <x v="0"/>
    <x v="0"/>
    <x v="1"/>
    <s v="Product D"/>
    <n v="434.53"/>
    <n v="6"/>
    <n v="-6.19"/>
  </r>
  <r>
    <n v="713"/>
    <d v="2024-09-12T00:00:00"/>
    <x v="1"/>
    <x v="6"/>
    <d v="2024-09-14T00:00:00"/>
    <n v="2"/>
    <x v="2"/>
    <s v="Customer 228"/>
    <x v="1"/>
    <s v="India"/>
    <s v="Delhi"/>
    <s v="Delhi"/>
    <x v="4"/>
    <x v="2"/>
    <x v="5"/>
    <s v="Product A"/>
    <n v="92.79"/>
    <n v="9"/>
    <n v="-25.14"/>
  </r>
  <r>
    <n v="714"/>
    <d v="2024-03-30T00:00:00"/>
    <x v="1"/>
    <x v="5"/>
    <d v="2024-04-03T00:00:00"/>
    <n v="4"/>
    <x v="0"/>
    <s v="Customer 92"/>
    <x v="2"/>
    <s v="USA"/>
    <s v="Chicago"/>
    <s v="Illinois"/>
    <x v="3"/>
    <x v="2"/>
    <x v="5"/>
    <s v="Product D"/>
    <n v="68.650000000000006"/>
    <n v="10"/>
    <n v="-15.53"/>
  </r>
  <r>
    <n v="715"/>
    <d v="2025-01-05T00:00:00"/>
    <x v="0"/>
    <x v="4"/>
    <d v="2025-01-13T00:00:00"/>
    <n v="8"/>
    <x v="1"/>
    <s v="Customer 177"/>
    <x v="0"/>
    <s v="USA"/>
    <s v="Chicago"/>
    <s v="Illinois"/>
    <x v="3"/>
    <x v="0"/>
    <x v="0"/>
    <s v="Product B"/>
    <n v="141.13999999999999"/>
    <n v="6"/>
    <n v="57.26"/>
  </r>
  <r>
    <n v="716"/>
    <d v="2024-06-13T00:00:00"/>
    <x v="1"/>
    <x v="2"/>
    <d v="2024-06-20T00:00:00"/>
    <n v="7"/>
    <x v="1"/>
    <s v="Customer 154"/>
    <x v="2"/>
    <s v="Canada"/>
    <s v="Toronto"/>
    <s v="Ontario"/>
    <x v="0"/>
    <x v="2"/>
    <x v="5"/>
    <s v="Product C"/>
    <n v="52.39"/>
    <n v="3"/>
    <n v="-5.03"/>
  </r>
  <r>
    <n v="717"/>
    <d v="2025-08-06T00:00:00"/>
    <x v="0"/>
    <x v="8"/>
    <d v="2025-08-07T00:00:00"/>
    <n v="1"/>
    <x v="1"/>
    <s v="Customer 157"/>
    <x v="1"/>
    <s v="USA"/>
    <s v="Chicago"/>
    <s v="Illinois"/>
    <x v="3"/>
    <x v="0"/>
    <x v="0"/>
    <s v="Product A"/>
    <n v="186.93"/>
    <n v="3"/>
    <n v="-34.36"/>
  </r>
  <r>
    <n v="718"/>
    <d v="2020-01-26T00:00:00"/>
    <x v="3"/>
    <x v="4"/>
    <d v="2020-01-28T00:00:00"/>
    <n v="2"/>
    <x v="3"/>
    <s v="Customer 2"/>
    <x v="2"/>
    <s v="Canada"/>
    <s v="Toronto"/>
    <s v="Ontario"/>
    <x v="0"/>
    <x v="1"/>
    <x v="3"/>
    <s v="Product C"/>
    <n v="121.87"/>
    <n v="4"/>
    <n v="51.52"/>
  </r>
  <r>
    <n v="719"/>
    <d v="2020-02-26T00:00:00"/>
    <x v="3"/>
    <x v="9"/>
    <d v="2020-02-28T00:00:00"/>
    <n v="2"/>
    <x v="1"/>
    <s v="Customer 105"/>
    <x v="1"/>
    <s v="USA"/>
    <s v="Los Angeles"/>
    <s v="California"/>
    <x v="2"/>
    <x v="1"/>
    <x v="2"/>
    <s v="Product B"/>
    <n v="354.92"/>
    <n v="3"/>
    <n v="-85.62"/>
  </r>
  <r>
    <n v="720"/>
    <d v="2025-03-10T00:00:00"/>
    <x v="0"/>
    <x v="5"/>
    <d v="2025-03-18T00:00:00"/>
    <n v="8"/>
    <x v="3"/>
    <s v="Customer 269"/>
    <x v="1"/>
    <s v="Canada"/>
    <s v="Montreal"/>
    <s v="Quebec"/>
    <x v="0"/>
    <x v="0"/>
    <x v="0"/>
    <s v="Product C"/>
    <n v="45.81"/>
    <n v="5"/>
    <n v="11.54"/>
  </r>
  <r>
    <n v="721"/>
    <d v="2020-12-28T00:00:00"/>
    <x v="3"/>
    <x v="10"/>
    <d v="2021-01-04T00:00:00"/>
    <n v="7"/>
    <x v="1"/>
    <s v="Customer 92"/>
    <x v="0"/>
    <s v="USA"/>
    <s v="Chicago"/>
    <s v="Illinois"/>
    <x v="3"/>
    <x v="0"/>
    <x v="0"/>
    <s v="Product B"/>
    <n v="398.96"/>
    <n v="4"/>
    <n v="81.47"/>
  </r>
  <r>
    <n v="722"/>
    <d v="2023-09-12T00:00:00"/>
    <x v="5"/>
    <x v="6"/>
    <d v="2023-09-15T00:00:00"/>
    <n v="3"/>
    <x v="0"/>
    <s v="Customer 230"/>
    <x v="0"/>
    <s v="Canada"/>
    <s v="Montreal"/>
    <s v="Quebec"/>
    <x v="0"/>
    <x v="1"/>
    <x v="3"/>
    <s v="Product A"/>
    <n v="310.77999999999997"/>
    <n v="2"/>
    <n v="49.91"/>
  </r>
  <r>
    <n v="723"/>
    <d v="2025-10-28T00:00:00"/>
    <x v="0"/>
    <x v="3"/>
    <d v="2025-11-06T00:00:00"/>
    <n v="9"/>
    <x v="0"/>
    <s v="Customer 86"/>
    <x v="2"/>
    <s v="India"/>
    <s v="Bangalore"/>
    <s v="Karnataka"/>
    <x v="1"/>
    <x v="0"/>
    <x v="0"/>
    <s v="Product D"/>
    <n v="159.32"/>
    <n v="1"/>
    <n v="69.53"/>
  </r>
  <r>
    <n v="724"/>
    <d v="2020-12-18T00:00:00"/>
    <x v="3"/>
    <x v="10"/>
    <d v="2020-12-28T00:00:00"/>
    <n v="10"/>
    <x v="2"/>
    <s v="Customer 53"/>
    <x v="1"/>
    <s v="USA"/>
    <s v="New York"/>
    <s v="New York"/>
    <x v="0"/>
    <x v="2"/>
    <x v="4"/>
    <s v="Product C"/>
    <n v="466.29"/>
    <n v="4"/>
    <n v="-1.78"/>
  </r>
  <r>
    <n v="725"/>
    <d v="2022-11-13T00:00:00"/>
    <x v="2"/>
    <x v="11"/>
    <d v="2022-11-19T00:00:00"/>
    <n v="6"/>
    <x v="1"/>
    <s v="Customer 124"/>
    <x v="0"/>
    <s v="Canada"/>
    <s v="Toronto"/>
    <s v="Ontario"/>
    <x v="0"/>
    <x v="2"/>
    <x v="4"/>
    <s v="Product B"/>
    <n v="479.67"/>
    <n v="2"/>
    <n v="168.11"/>
  </r>
  <r>
    <n v="726"/>
    <d v="2024-02-07T00:00:00"/>
    <x v="1"/>
    <x v="9"/>
    <d v="2024-02-17T00:00:00"/>
    <n v="10"/>
    <x v="3"/>
    <s v="Customer 254"/>
    <x v="0"/>
    <s v="Canada"/>
    <s v="Toronto"/>
    <s v="Ontario"/>
    <x v="0"/>
    <x v="1"/>
    <x v="2"/>
    <s v="Product D"/>
    <n v="241.4"/>
    <n v="7"/>
    <n v="74.83"/>
  </r>
  <r>
    <n v="727"/>
    <d v="2021-09-09T00:00:00"/>
    <x v="4"/>
    <x v="6"/>
    <d v="2021-09-13T00:00:00"/>
    <n v="4"/>
    <x v="3"/>
    <s v="Customer 235"/>
    <x v="2"/>
    <s v="USA"/>
    <s v="Los Angeles"/>
    <s v="California"/>
    <x v="2"/>
    <x v="0"/>
    <x v="0"/>
    <s v="Product A"/>
    <n v="403.56"/>
    <n v="5"/>
    <n v="-37.020000000000003"/>
  </r>
  <r>
    <n v="728"/>
    <d v="2022-11-09T00:00:00"/>
    <x v="2"/>
    <x v="11"/>
    <d v="2022-11-12T00:00:00"/>
    <n v="3"/>
    <x v="2"/>
    <s v="Customer 300"/>
    <x v="2"/>
    <s v="India"/>
    <s v="Delhi"/>
    <s v="Delhi"/>
    <x v="4"/>
    <x v="2"/>
    <x v="4"/>
    <s v="Product B"/>
    <n v="437.22"/>
    <n v="1"/>
    <n v="72.37"/>
  </r>
  <r>
    <n v="729"/>
    <d v="2022-01-09T00:00:00"/>
    <x v="2"/>
    <x v="4"/>
    <d v="2022-01-14T00:00:00"/>
    <n v="5"/>
    <x v="3"/>
    <s v="Customer 264"/>
    <x v="0"/>
    <s v="India"/>
    <s v="Delhi"/>
    <s v="Delhi"/>
    <x v="4"/>
    <x v="0"/>
    <x v="1"/>
    <s v="Product C"/>
    <n v="71.319999999999993"/>
    <n v="1"/>
    <n v="9.7200000000000006"/>
  </r>
  <r>
    <n v="730"/>
    <d v="2020-10-25T00:00:00"/>
    <x v="3"/>
    <x v="3"/>
    <d v="2020-10-30T00:00:00"/>
    <n v="5"/>
    <x v="0"/>
    <s v="Customer 296"/>
    <x v="1"/>
    <s v="India"/>
    <s v="Delhi"/>
    <s v="Delhi"/>
    <x v="4"/>
    <x v="1"/>
    <x v="3"/>
    <s v="Product D"/>
    <n v="413.57"/>
    <n v="5"/>
    <n v="154.55000000000001"/>
  </r>
  <r>
    <n v="731"/>
    <d v="2023-02-13T00:00:00"/>
    <x v="5"/>
    <x v="9"/>
    <d v="2023-02-16T00:00:00"/>
    <n v="3"/>
    <x v="0"/>
    <s v="Customer 172"/>
    <x v="2"/>
    <s v="India"/>
    <s v="Mumbai"/>
    <s v="Maharashtra"/>
    <x v="2"/>
    <x v="1"/>
    <x v="3"/>
    <s v="Product A"/>
    <n v="120.72"/>
    <n v="7"/>
    <n v="-0.56999999999999995"/>
  </r>
  <r>
    <n v="732"/>
    <d v="2020-02-23T00:00:00"/>
    <x v="3"/>
    <x v="9"/>
    <d v="2020-03-02T00:00:00"/>
    <n v="8"/>
    <x v="2"/>
    <s v="Customer 245"/>
    <x v="2"/>
    <s v="India"/>
    <s v="Bangalore"/>
    <s v="Karnataka"/>
    <x v="1"/>
    <x v="2"/>
    <x v="4"/>
    <s v="Product B"/>
    <n v="231.48"/>
    <n v="8"/>
    <n v="-30.69"/>
  </r>
  <r>
    <n v="733"/>
    <d v="2023-06-06T00:00:00"/>
    <x v="5"/>
    <x v="2"/>
    <d v="2023-06-16T00:00:00"/>
    <n v="10"/>
    <x v="0"/>
    <s v="Customer 196"/>
    <x v="1"/>
    <s v="Canada"/>
    <s v="Montreal"/>
    <s v="Quebec"/>
    <x v="0"/>
    <x v="0"/>
    <x v="1"/>
    <s v="Product B"/>
    <n v="441.14"/>
    <n v="6"/>
    <n v="185.35"/>
  </r>
  <r>
    <n v="734"/>
    <d v="2021-09-26T00:00:00"/>
    <x v="4"/>
    <x v="6"/>
    <d v="2021-09-28T00:00:00"/>
    <n v="2"/>
    <x v="3"/>
    <s v="Customer 102"/>
    <x v="1"/>
    <s v="Canada"/>
    <s v="Toronto"/>
    <s v="Ontario"/>
    <x v="0"/>
    <x v="2"/>
    <x v="5"/>
    <s v="Product C"/>
    <n v="64.12"/>
    <n v="5"/>
    <n v="-1.68"/>
  </r>
  <r>
    <n v="735"/>
    <d v="2022-02-04T00:00:00"/>
    <x v="2"/>
    <x v="9"/>
    <d v="2022-02-07T00:00:00"/>
    <n v="3"/>
    <x v="3"/>
    <s v="Customer 134"/>
    <x v="0"/>
    <s v="India"/>
    <s v="Mumbai"/>
    <s v="Maharashtra"/>
    <x v="2"/>
    <x v="0"/>
    <x v="1"/>
    <s v="Product D"/>
    <n v="250.28"/>
    <n v="9"/>
    <n v="102.59"/>
  </r>
  <r>
    <n v="736"/>
    <d v="2023-07-28T00:00:00"/>
    <x v="5"/>
    <x v="1"/>
    <d v="2023-08-03T00:00:00"/>
    <n v="6"/>
    <x v="1"/>
    <s v="Customer 163"/>
    <x v="0"/>
    <s v="India"/>
    <s v="Delhi"/>
    <s v="Delhi"/>
    <x v="4"/>
    <x v="2"/>
    <x v="5"/>
    <s v="Product D"/>
    <n v="149.44999999999999"/>
    <n v="1"/>
    <n v="58.47"/>
  </r>
  <r>
    <n v="737"/>
    <d v="2022-02-18T00:00:00"/>
    <x v="2"/>
    <x v="9"/>
    <d v="2022-02-27T00:00:00"/>
    <n v="9"/>
    <x v="2"/>
    <s v="Customer 71"/>
    <x v="0"/>
    <s v="USA"/>
    <s v="New York"/>
    <s v="New York"/>
    <x v="0"/>
    <x v="1"/>
    <x v="3"/>
    <s v="Product A"/>
    <n v="192.28"/>
    <n v="4"/>
    <n v="44.05"/>
  </r>
  <r>
    <n v="738"/>
    <d v="2023-02-03T00:00:00"/>
    <x v="5"/>
    <x v="9"/>
    <d v="2023-02-12T00:00:00"/>
    <n v="9"/>
    <x v="0"/>
    <s v="Customer 253"/>
    <x v="1"/>
    <s v="USA"/>
    <s v="Chicago"/>
    <s v="Illinois"/>
    <x v="3"/>
    <x v="0"/>
    <x v="0"/>
    <s v="Product C"/>
    <n v="493.27"/>
    <n v="7"/>
    <n v="-79.36"/>
  </r>
  <r>
    <n v="739"/>
    <d v="2024-05-20T00:00:00"/>
    <x v="1"/>
    <x v="0"/>
    <d v="2024-05-21T00:00:00"/>
    <n v="1"/>
    <x v="3"/>
    <s v="Customer 178"/>
    <x v="2"/>
    <s v="India"/>
    <s v="Mumbai"/>
    <s v="Maharashtra"/>
    <x v="2"/>
    <x v="1"/>
    <x v="3"/>
    <s v="Product A"/>
    <n v="184.83"/>
    <n v="7"/>
    <n v="66.290000000000006"/>
  </r>
  <r>
    <n v="740"/>
    <d v="2024-07-29T00:00:00"/>
    <x v="1"/>
    <x v="1"/>
    <d v="2024-08-04T00:00:00"/>
    <n v="6"/>
    <x v="1"/>
    <s v="Customer 161"/>
    <x v="0"/>
    <s v="Canada"/>
    <s v="Vancouver"/>
    <s v="British Columbia"/>
    <x v="2"/>
    <x v="0"/>
    <x v="1"/>
    <s v="Product D"/>
    <n v="172.03"/>
    <n v="6"/>
    <n v="-27.92"/>
  </r>
  <r>
    <n v="741"/>
    <d v="2022-09-07T00:00:00"/>
    <x v="2"/>
    <x v="6"/>
    <d v="2022-09-15T00:00:00"/>
    <n v="8"/>
    <x v="2"/>
    <s v="Customer 120"/>
    <x v="1"/>
    <s v="India"/>
    <s v="Bangalore"/>
    <s v="Karnataka"/>
    <x v="1"/>
    <x v="1"/>
    <x v="2"/>
    <s v="Product C"/>
    <n v="302.05"/>
    <n v="10"/>
    <n v="-14.41"/>
  </r>
  <r>
    <n v="742"/>
    <d v="2025-06-02T00:00:00"/>
    <x v="0"/>
    <x v="2"/>
    <d v="2025-06-05T00:00:00"/>
    <n v="3"/>
    <x v="3"/>
    <s v="Customer 44"/>
    <x v="0"/>
    <s v="Canada"/>
    <s v="Toronto"/>
    <s v="Ontario"/>
    <x v="0"/>
    <x v="2"/>
    <x v="4"/>
    <s v="Product C"/>
    <n v="231.6"/>
    <n v="4"/>
    <n v="103.33"/>
  </r>
  <r>
    <n v="743"/>
    <d v="2020-02-01T00:00:00"/>
    <x v="3"/>
    <x v="9"/>
    <d v="2020-02-05T00:00:00"/>
    <n v="4"/>
    <x v="1"/>
    <s v="Customer 128"/>
    <x v="1"/>
    <s v="Canada"/>
    <s v="Montreal"/>
    <s v="Quebec"/>
    <x v="0"/>
    <x v="1"/>
    <x v="2"/>
    <s v="Product D"/>
    <n v="310.14"/>
    <n v="10"/>
    <n v="-64.52"/>
  </r>
  <r>
    <n v="744"/>
    <d v="2025-08-18T00:00:00"/>
    <x v="0"/>
    <x v="8"/>
    <d v="2025-08-24T00:00:00"/>
    <n v="6"/>
    <x v="2"/>
    <s v="Customer 225"/>
    <x v="2"/>
    <s v="USA"/>
    <s v="Chicago"/>
    <s v="Illinois"/>
    <x v="3"/>
    <x v="0"/>
    <x v="1"/>
    <s v="Product D"/>
    <n v="239.74"/>
    <n v="2"/>
    <n v="-25.62"/>
  </r>
  <r>
    <n v="745"/>
    <d v="2020-10-09T00:00:00"/>
    <x v="3"/>
    <x v="3"/>
    <d v="2020-10-11T00:00:00"/>
    <n v="2"/>
    <x v="1"/>
    <s v="Customer 278"/>
    <x v="2"/>
    <s v="India"/>
    <s v="Delhi"/>
    <s v="Delhi"/>
    <x v="4"/>
    <x v="0"/>
    <x v="0"/>
    <s v="Product A"/>
    <n v="77.599999999999994"/>
    <n v="6"/>
    <n v="-18.059999999999999"/>
  </r>
  <r>
    <n v="746"/>
    <d v="2021-07-10T00:00:00"/>
    <x v="4"/>
    <x v="1"/>
    <d v="2021-07-20T00:00:00"/>
    <n v="10"/>
    <x v="0"/>
    <s v="Customer 209"/>
    <x v="2"/>
    <s v="India"/>
    <s v="Mumbai"/>
    <s v="Maharashtra"/>
    <x v="2"/>
    <x v="0"/>
    <x v="1"/>
    <s v="Product B"/>
    <n v="269.12"/>
    <n v="2"/>
    <n v="100.59"/>
  </r>
  <r>
    <n v="747"/>
    <d v="2024-11-19T00:00:00"/>
    <x v="1"/>
    <x v="11"/>
    <d v="2024-11-22T00:00:00"/>
    <n v="3"/>
    <x v="3"/>
    <s v="Customer 152"/>
    <x v="2"/>
    <s v="Canada"/>
    <s v="Vancouver"/>
    <s v="British Columbia"/>
    <x v="2"/>
    <x v="1"/>
    <x v="3"/>
    <s v="Product A"/>
    <n v="78.989999999999995"/>
    <n v="5"/>
    <n v="-13.87"/>
  </r>
  <r>
    <n v="748"/>
    <d v="2022-11-21T00:00:00"/>
    <x v="2"/>
    <x v="11"/>
    <d v="2022-11-26T00:00:00"/>
    <n v="5"/>
    <x v="3"/>
    <s v="Customer 187"/>
    <x v="2"/>
    <s v="India"/>
    <s v="Bangalore"/>
    <s v="Karnataka"/>
    <x v="1"/>
    <x v="0"/>
    <x v="0"/>
    <s v="Product C"/>
    <n v="195.79"/>
    <n v="1"/>
    <n v="-39.4"/>
  </r>
  <r>
    <n v="749"/>
    <d v="2021-04-07T00:00:00"/>
    <x v="4"/>
    <x v="7"/>
    <d v="2021-04-14T00:00:00"/>
    <n v="7"/>
    <x v="0"/>
    <s v="Customer 63"/>
    <x v="2"/>
    <s v="USA"/>
    <s v="New York"/>
    <s v="New York"/>
    <x v="0"/>
    <x v="2"/>
    <x v="5"/>
    <s v="Product A"/>
    <n v="70.08"/>
    <n v="6"/>
    <n v="19.36"/>
  </r>
  <r>
    <n v="750"/>
    <d v="2022-07-14T00:00:00"/>
    <x v="2"/>
    <x v="1"/>
    <d v="2022-07-16T00:00:00"/>
    <n v="2"/>
    <x v="1"/>
    <s v="Customer 180"/>
    <x v="1"/>
    <s v="USA"/>
    <s v="Chicago"/>
    <s v="Illinois"/>
    <x v="3"/>
    <x v="1"/>
    <x v="2"/>
    <s v="Product A"/>
    <n v="355.29"/>
    <n v="9"/>
    <n v="27.84"/>
  </r>
  <r>
    <n v="751"/>
    <d v="2023-12-02T00:00:00"/>
    <x v="5"/>
    <x v="10"/>
    <d v="2023-12-03T00:00:00"/>
    <n v="1"/>
    <x v="3"/>
    <s v="Customer 226"/>
    <x v="2"/>
    <s v="USA"/>
    <s v="Los Angeles"/>
    <s v="California"/>
    <x v="2"/>
    <x v="1"/>
    <x v="3"/>
    <s v="Product D"/>
    <n v="311.74"/>
    <n v="6"/>
    <n v="-43.32"/>
  </r>
  <r>
    <n v="752"/>
    <d v="2023-04-19T00:00:00"/>
    <x v="5"/>
    <x v="7"/>
    <d v="2023-04-20T00:00:00"/>
    <n v="1"/>
    <x v="1"/>
    <s v="Customer 66"/>
    <x v="0"/>
    <s v="Canada"/>
    <s v="Montreal"/>
    <s v="Quebec"/>
    <x v="0"/>
    <x v="0"/>
    <x v="1"/>
    <s v="Product B"/>
    <n v="406.27"/>
    <n v="5"/>
    <n v="-111.44"/>
  </r>
  <r>
    <n v="753"/>
    <d v="2024-01-29T00:00:00"/>
    <x v="1"/>
    <x v="4"/>
    <d v="2024-01-31T00:00:00"/>
    <n v="2"/>
    <x v="3"/>
    <s v="Customer 223"/>
    <x v="0"/>
    <s v="Canada"/>
    <s v="Vancouver"/>
    <s v="British Columbia"/>
    <x v="2"/>
    <x v="0"/>
    <x v="1"/>
    <s v="Product B"/>
    <n v="202.14"/>
    <n v="1"/>
    <n v="29.43"/>
  </r>
  <r>
    <n v="754"/>
    <d v="2025-01-07T00:00:00"/>
    <x v="0"/>
    <x v="4"/>
    <d v="2025-01-11T00:00:00"/>
    <n v="4"/>
    <x v="2"/>
    <s v="Customer 268"/>
    <x v="0"/>
    <s v="USA"/>
    <s v="Los Angeles"/>
    <s v="California"/>
    <x v="2"/>
    <x v="0"/>
    <x v="1"/>
    <s v="Product C"/>
    <n v="443.79"/>
    <n v="1"/>
    <n v="108.85"/>
  </r>
  <r>
    <n v="755"/>
    <d v="2025-07-01T00:00:00"/>
    <x v="0"/>
    <x v="1"/>
    <d v="2025-07-03T00:00:00"/>
    <n v="2"/>
    <x v="2"/>
    <s v="Customer 109"/>
    <x v="1"/>
    <s v="USA"/>
    <s v="Los Angeles"/>
    <s v="California"/>
    <x v="2"/>
    <x v="2"/>
    <x v="5"/>
    <s v="Product C"/>
    <n v="179.17"/>
    <n v="7"/>
    <n v="-29.4"/>
  </r>
  <r>
    <n v="756"/>
    <d v="2020-06-27T00:00:00"/>
    <x v="3"/>
    <x v="2"/>
    <d v="2020-07-04T00:00:00"/>
    <n v="7"/>
    <x v="3"/>
    <s v="Customer 122"/>
    <x v="0"/>
    <s v="USA"/>
    <s v="Chicago"/>
    <s v="Illinois"/>
    <x v="3"/>
    <x v="2"/>
    <x v="4"/>
    <s v="Product A"/>
    <n v="371.49"/>
    <n v="9"/>
    <n v="-33.08"/>
  </r>
  <r>
    <n v="757"/>
    <d v="2022-06-19T00:00:00"/>
    <x v="2"/>
    <x v="2"/>
    <d v="2022-06-23T00:00:00"/>
    <n v="4"/>
    <x v="0"/>
    <s v="Customer 137"/>
    <x v="2"/>
    <s v="India"/>
    <s v="Mumbai"/>
    <s v="Maharashtra"/>
    <x v="2"/>
    <x v="2"/>
    <x v="4"/>
    <s v="Product B"/>
    <n v="163.31"/>
    <n v="1"/>
    <n v="-19.809999999999999"/>
  </r>
  <r>
    <n v="758"/>
    <d v="2024-02-04T00:00:00"/>
    <x v="1"/>
    <x v="9"/>
    <d v="2024-02-12T00:00:00"/>
    <n v="8"/>
    <x v="0"/>
    <s v="Customer 198"/>
    <x v="1"/>
    <s v="Canada"/>
    <s v="Vancouver"/>
    <s v="British Columbia"/>
    <x v="2"/>
    <x v="1"/>
    <x v="2"/>
    <s v="Product C"/>
    <n v="245.11"/>
    <n v="2"/>
    <n v="65.75"/>
  </r>
  <r>
    <n v="759"/>
    <d v="2025-11-16T00:00:00"/>
    <x v="0"/>
    <x v="11"/>
    <d v="2025-11-19T00:00:00"/>
    <n v="3"/>
    <x v="0"/>
    <s v="Customer 164"/>
    <x v="2"/>
    <s v="USA"/>
    <s v="Chicago"/>
    <s v="Illinois"/>
    <x v="3"/>
    <x v="1"/>
    <x v="2"/>
    <s v="Product D"/>
    <n v="171.64"/>
    <n v="1"/>
    <n v="-36.909999999999997"/>
  </r>
  <r>
    <n v="760"/>
    <d v="2024-02-13T00:00:00"/>
    <x v="1"/>
    <x v="9"/>
    <d v="2024-02-20T00:00:00"/>
    <n v="7"/>
    <x v="1"/>
    <s v="Customer 278"/>
    <x v="2"/>
    <s v="USA"/>
    <s v="Los Angeles"/>
    <s v="California"/>
    <x v="2"/>
    <x v="0"/>
    <x v="1"/>
    <s v="Product A"/>
    <n v="460.47"/>
    <n v="1"/>
    <n v="79.28"/>
  </r>
  <r>
    <n v="761"/>
    <d v="2022-10-31T00:00:00"/>
    <x v="2"/>
    <x v="3"/>
    <d v="2022-11-01T00:00:00"/>
    <n v="1"/>
    <x v="2"/>
    <s v="Customer 151"/>
    <x v="1"/>
    <s v="Canada"/>
    <s v="Vancouver"/>
    <s v="British Columbia"/>
    <x v="2"/>
    <x v="0"/>
    <x v="1"/>
    <s v="Product B"/>
    <n v="362.78"/>
    <n v="4"/>
    <n v="53.56"/>
  </r>
  <r>
    <n v="762"/>
    <d v="2025-09-11T00:00:00"/>
    <x v="0"/>
    <x v="6"/>
    <d v="2025-09-14T00:00:00"/>
    <n v="3"/>
    <x v="0"/>
    <s v="Customer 147"/>
    <x v="1"/>
    <s v="USA"/>
    <s v="Los Angeles"/>
    <s v="California"/>
    <x v="2"/>
    <x v="2"/>
    <x v="5"/>
    <s v="Product D"/>
    <n v="25.82"/>
    <n v="8"/>
    <n v="0.49"/>
  </r>
  <r>
    <n v="763"/>
    <d v="2022-08-03T00:00:00"/>
    <x v="2"/>
    <x v="8"/>
    <d v="2022-08-06T00:00:00"/>
    <n v="3"/>
    <x v="0"/>
    <s v="Customer 197"/>
    <x v="0"/>
    <s v="USA"/>
    <s v="Los Angeles"/>
    <s v="California"/>
    <x v="2"/>
    <x v="1"/>
    <x v="2"/>
    <s v="Product D"/>
    <n v="128.44"/>
    <n v="10"/>
    <n v="46.2"/>
  </r>
  <r>
    <n v="764"/>
    <d v="2023-11-12T00:00:00"/>
    <x v="5"/>
    <x v="11"/>
    <d v="2023-11-17T00:00:00"/>
    <n v="5"/>
    <x v="3"/>
    <s v="Customer 192"/>
    <x v="2"/>
    <s v="India"/>
    <s v="Mumbai"/>
    <s v="Maharashtra"/>
    <x v="2"/>
    <x v="0"/>
    <x v="0"/>
    <s v="Product A"/>
    <n v="115.45"/>
    <n v="6"/>
    <n v="45.58"/>
  </r>
  <r>
    <n v="765"/>
    <d v="2023-04-04T00:00:00"/>
    <x v="5"/>
    <x v="7"/>
    <d v="2023-04-13T00:00:00"/>
    <n v="9"/>
    <x v="3"/>
    <s v="Customer 287"/>
    <x v="0"/>
    <s v="USA"/>
    <s v="New York"/>
    <s v="New York"/>
    <x v="0"/>
    <x v="1"/>
    <x v="2"/>
    <s v="Product C"/>
    <n v="101.08"/>
    <n v="2"/>
    <n v="46.26"/>
  </r>
  <r>
    <n v="766"/>
    <d v="2025-08-19T00:00:00"/>
    <x v="0"/>
    <x v="8"/>
    <d v="2025-08-28T00:00:00"/>
    <n v="9"/>
    <x v="2"/>
    <s v="Customer 212"/>
    <x v="1"/>
    <s v="Canada"/>
    <s v="Montreal"/>
    <s v="Quebec"/>
    <x v="0"/>
    <x v="0"/>
    <x v="1"/>
    <s v="Product D"/>
    <n v="188.18"/>
    <n v="2"/>
    <n v="-46.31"/>
  </r>
  <r>
    <n v="767"/>
    <d v="2020-10-12T00:00:00"/>
    <x v="3"/>
    <x v="3"/>
    <d v="2020-10-17T00:00:00"/>
    <n v="5"/>
    <x v="0"/>
    <s v="Customer 70"/>
    <x v="0"/>
    <s v="USA"/>
    <s v="Los Angeles"/>
    <s v="California"/>
    <x v="2"/>
    <x v="0"/>
    <x v="0"/>
    <s v="Product C"/>
    <n v="41.48"/>
    <n v="8"/>
    <n v="4.8"/>
  </r>
  <r>
    <n v="768"/>
    <d v="2021-02-02T00:00:00"/>
    <x v="4"/>
    <x v="9"/>
    <d v="2021-02-03T00:00:00"/>
    <n v="1"/>
    <x v="0"/>
    <s v="Customer 205"/>
    <x v="0"/>
    <s v="Canada"/>
    <s v="Vancouver"/>
    <s v="British Columbia"/>
    <x v="2"/>
    <x v="0"/>
    <x v="1"/>
    <s v="Product A"/>
    <n v="321.69"/>
    <n v="8"/>
    <n v="46.6"/>
  </r>
  <r>
    <n v="769"/>
    <d v="2024-08-29T00:00:00"/>
    <x v="1"/>
    <x v="8"/>
    <d v="2024-09-07T00:00:00"/>
    <n v="9"/>
    <x v="2"/>
    <s v="Customer 248"/>
    <x v="1"/>
    <s v="Canada"/>
    <s v="Toronto"/>
    <s v="Ontario"/>
    <x v="0"/>
    <x v="1"/>
    <x v="2"/>
    <s v="Product C"/>
    <n v="453.17"/>
    <n v="8"/>
    <n v="83.24"/>
  </r>
  <r>
    <n v="770"/>
    <d v="2021-06-14T00:00:00"/>
    <x v="4"/>
    <x v="2"/>
    <d v="2021-06-17T00:00:00"/>
    <n v="3"/>
    <x v="3"/>
    <s v="Customer 137"/>
    <x v="2"/>
    <s v="USA"/>
    <s v="Chicago"/>
    <s v="Illinois"/>
    <x v="3"/>
    <x v="1"/>
    <x v="3"/>
    <s v="Product C"/>
    <n v="239.43"/>
    <n v="1"/>
    <n v="43.38"/>
  </r>
  <r>
    <n v="771"/>
    <d v="2020-05-11T00:00:00"/>
    <x v="3"/>
    <x v="0"/>
    <d v="2020-05-17T00:00:00"/>
    <n v="6"/>
    <x v="3"/>
    <s v="Customer 156"/>
    <x v="1"/>
    <s v="Canada"/>
    <s v="Vancouver"/>
    <s v="British Columbia"/>
    <x v="2"/>
    <x v="1"/>
    <x v="2"/>
    <s v="Product D"/>
    <n v="388.31"/>
    <n v="7"/>
    <n v="118.04"/>
  </r>
  <r>
    <n v="772"/>
    <d v="2024-04-01T00:00:00"/>
    <x v="1"/>
    <x v="7"/>
    <d v="2024-04-04T00:00:00"/>
    <n v="3"/>
    <x v="2"/>
    <s v="Customer 95"/>
    <x v="2"/>
    <s v="USA"/>
    <s v="New York"/>
    <s v="New York"/>
    <x v="0"/>
    <x v="1"/>
    <x v="3"/>
    <s v="Product C"/>
    <n v="164.25"/>
    <n v="1"/>
    <n v="77.709999999999994"/>
  </r>
  <r>
    <n v="773"/>
    <d v="2022-08-01T00:00:00"/>
    <x v="2"/>
    <x v="8"/>
    <d v="2022-08-05T00:00:00"/>
    <n v="4"/>
    <x v="2"/>
    <s v="Customer 40"/>
    <x v="2"/>
    <s v="India"/>
    <s v="Delhi"/>
    <s v="Delhi"/>
    <x v="4"/>
    <x v="0"/>
    <x v="0"/>
    <s v="Product D"/>
    <n v="311.64999999999998"/>
    <n v="8"/>
    <n v="20.51"/>
  </r>
  <r>
    <n v="774"/>
    <d v="2020-04-03T00:00:00"/>
    <x v="3"/>
    <x v="7"/>
    <d v="2020-04-05T00:00:00"/>
    <n v="2"/>
    <x v="0"/>
    <s v="Customer 117"/>
    <x v="0"/>
    <s v="India"/>
    <s v="Bangalore"/>
    <s v="Karnataka"/>
    <x v="1"/>
    <x v="0"/>
    <x v="1"/>
    <s v="Product C"/>
    <n v="433.91"/>
    <n v="4"/>
    <n v="-90.28"/>
  </r>
  <r>
    <n v="775"/>
    <d v="2021-06-30T00:00:00"/>
    <x v="4"/>
    <x v="2"/>
    <d v="2021-07-05T00:00:00"/>
    <n v="5"/>
    <x v="1"/>
    <s v="Customer 18"/>
    <x v="0"/>
    <s v="Canada"/>
    <s v="Vancouver"/>
    <s v="British Columbia"/>
    <x v="2"/>
    <x v="2"/>
    <x v="5"/>
    <s v="Product B"/>
    <n v="377.04"/>
    <n v="8"/>
    <n v="-94.68"/>
  </r>
  <r>
    <n v="776"/>
    <d v="2025-07-18T00:00:00"/>
    <x v="0"/>
    <x v="1"/>
    <d v="2025-07-21T00:00:00"/>
    <n v="3"/>
    <x v="2"/>
    <s v="Customer 166"/>
    <x v="2"/>
    <s v="Canada"/>
    <s v="Toronto"/>
    <s v="Ontario"/>
    <x v="0"/>
    <x v="1"/>
    <x v="2"/>
    <s v="Product A"/>
    <n v="429.68"/>
    <n v="10"/>
    <n v="5.58"/>
  </r>
  <r>
    <n v="777"/>
    <d v="2022-03-14T00:00:00"/>
    <x v="2"/>
    <x v="5"/>
    <d v="2022-03-20T00:00:00"/>
    <n v="6"/>
    <x v="2"/>
    <s v="Customer 75"/>
    <x v="1"/>
    <s v="USA"/>
    <s v="New York"/>
    <s v="New York"/>
    <x v="0"/>
    <x v="0"/>
    <x v="1"/>
    <s v="Product A"/>
    <n v="37.26"/>
    <n v="2"/>
    <n v="-5.44"/>
  </r>
  <r>
    <n v="778"/>
    <d v="2021-01-21T00:00:00"/>
    <x v="4"/>
    <x v="4"/>
    <d v="2021-01-24T00:00:00"/>
    <n v="3"/>
    <x v="2"/>
    <s v="Customer 214"/>
    <x v="2"/>
    <s v="Canada"/>
    <s v="Montreal"/>
    <s v="Quebec"/>
    <x v="0"/>
    <x v="0"/>
    <x v="0"/>
    <s v="Product C"/>
    <n v="211.18"/>
    <n v="5"/>
    <n v="27.37"/>
  </r>
  <r>
    <n v="779"/>
    <d v="2025-04-03T00:00:00"/>
    <x v="0"/>
    <x v="7"/>
    <d v="2025-04-11T00:00:00"/>
    <n v="8"/>
    <x v="0"/>
    <s v="Customer 121"/>
    <x v="0"/>
    <s v="Canada"/>
    <s v="Vancouver"/>
    <s v="British Columbia"/>
    <x v="2"/>
    <x v="1"/>
    <x v="3"/>
    <s v="Product D"/>
    <n v="133.34"/>
    <n v="6"/>
    <n v="37.229999999999997"/>
  </r>
  <r>
    <n v="780"/>
    <d v="2020-08-04T00:00:00"/>
    <x v="3"/>
    <x v="8"/>
    <d v="2020-08-07T00:00:00"/>
    <n v="3"/>
    <x v="2"/>
    <s v="Customer 190"/>
    <x v="2"/>
    <s v="Canada"/>
    <s v="Vancouver"/>
    <s v="British Columbia"/>
    <x v="2"/>
    <x v="1"/>
    <x v="3"/>
    <s v="Product D"/>
    <n v="44.67"/>
    <n v="3"/>
    <n v="-0.73"/>
  </r>
  <r>
    <n v="781"/>
    <d v="2021-07-28T00:00:00"/>
    <x v="4"/>
    <x v="1"/>
    <d v="2021-07-31T00:00:00"/>
    <n v="3"/>
    <x v="2"/>
    <s v="Customer 253"/>
    <x v="1"/>
    <s v="Canada"/>
    <s v="Vancouver"/>
    <s v="British Columbia"/>
    <x v="2"/>
    <x v="0"/>
    <x v="1"/>
    <s v="Product B"/>
    <n v="60.27"/>
    <n v="1"/>
    <n v="-5.73"/>
  </r>
  <r>
    <n v="782"/>
    <d v="2020-01-15T00:00:00"/>
    <x v="3"/>
    <x v="4"/>
    <d v="2020-01-17T00:00:00"/>
    <n v="2"/>
    <x v="2"/>
    <s v="Customer 205"/>
    <x v="2"/>
    <s v="Canada"/>
    <s v="Toronto"/>
    <s v="Ontario"/>
    <x v="0"/>
    <x v="0"/>
    <x v="1"/>
    <s v="Product C"/>
    <n v="287.87"/>
    <n v="1"/>
    <n v="-62.01"/>
  </r>
  <r>
    <n v="783"/>
    <d v="2020-06-04T00:00:00"/>
    <x v="3"/>
    <x v="2"/>
    <d v="2020-06-06T00:00:00"/>
    <n v="2"/>
    <x v="0"/>
    <s v="Customer 235"/>
    <x v="2"/>
    <s v="India"/>
    <s v="Mumbai"/>
    <s v="Maharashtra"/>
    <x v="2"/>
    <x v="1"/>
    <x v="2"/>
    <s v="Product A"/>
    <n v="443.76"/>
    <n v="3"/>
    <n v="-113.56"/>
  </r>
  <r>
    <n v="784"/>
    <d v="2022-02-03T00:00:00"/>
    <x v="2"/>
    <x v="9"/>
    <d v="2022-02-11T00:00:00"/>
    <n v="8"/>
    <x v="3"/>
    <s v="Customer 159"/>
    <x v="2"/>
    <s v="USA"/>
    <s v="Chicago"/>
    <s v="Illinois"/>
    <x v="3"/>
    <x v="1"/>
    <x v="3"/>
    <s v="Product D"/>
    <n v="410.41"/>
    <n v="10"/>
    <n v="-77.48"/>
  </r>
  <r>
    <n v="785"/>
    <d v="2020-03-11T00:00:00"/>
    <x v="3"/>
    <x v="5"/>
    <d v="2020-03-19T00:00:00"/>
    <n v="8"/>
    <x v="2"/>
    <s v="Customer 192"/>
    <x v="1"/>
    <s v="USA"/>
    <s v="Chicago"/>
    <s v="Illinois"/>
    <x v="3"/>
    <x v="2"/>
    <x v="4"/>
    <s v="Product B"/>
    <n v="275.48"/>
    <n v="9"/>
    <n v="86.8"/>
  </r>
  <r>
    <n v="786"/>
    <d v="2023-06-24T00:00:00"/>
    <x v="5"/>
    <x v="2"/>
    <d v="2023-07-02T00:00:00"/>
    <n v="8"/>
    <x v="2"/>
    <s v="Customer 85"/>
    <x v="0"/>
    <s v="India"/>
    <s v="Mumbai"/>
    <s v="Maharashtra"/>
    <x v="2"/>
    <x v="2"/>
    <x v="4"/>
    <s v="Product B"/>
    <n v="359.7"/>
    <n v="2"/>
    <n v="48.15"/>
  </r>
  <r>
    <n v="787"/>
    <d v="2024-09-29T00:00:00"/>
    <x v="1"/>
    <x v="6"/>
    <d v="2024-10-01T00:00:00"/>
    <n v="2"/>
    <x v="0"/>
    <s v="Customer 37"/>
    <x v="2"/>
    <s v="USA"/>
    <s v="Los Angeles"/>
    <s v="California"/>
    <x v="2"/>
    <x v="0"/>
    <x v="1"/>
    <s v="Product C"/>
    <n v="326.13"/>
    <n v="3"/>
    <n v="-20.8"/>
  </r>
  <r>
    <n v="788"/>
    <d v="2021-01-28T00:00:00"/>
    <x v="4"/>
    <x v="4"/>
    <d v="2021-02-04T00:00:00"/>
    <n v="7"/>
    <x v="2"/>
    <s v="Customer 9"/>
    <x v="0"/>
    <s v="India"/>
    <s v="Mumbai"/>
    <s v="Maharashtra"/>
    <x v="2"/>
    <x v="0"/>
    <x v="0"/>
    <s v="Product D"/>
    <n v="461.31"/>
    <n v="5"/>
    <n v="59.45"/>
  </r>
  <r>
    <n v="789"/>
    <d v="2022-04-24T00:00:00"/>
    <x v="2"/>
    <x v="7"/>
    <d v="2022-04-27T00:00:00"/>
    <n v="3"/>
    <x v="3"/>
    <s v="Customer 30"/>
    <x v="0"/>
    <s v="USA"/>
    <s v="Chicago"/>
    <s v="Illinois"/>
    <x v="3"/>
    <x v="1"/>
    <x v="2"/>
    <s v="Product D"/>
    <n v="254.17"/>
    <n v="8"/>
    <n v="96.71"/>
  </r>
  <r>
    <n v="790"/>
    <d v="2024-08-02T00:00:00"/>
    <x v="1"/>
    <x v="8"/>
    <d v="2024-08-07T00:00:00"/>
    <n v="5"/>
    <x v="1"/>
    <s v="Customer 54"/>
    <x v="2"/>
    <s v="India"/>
    <s v="Bangalore"/>
    <s v="Karnataka"/>
    <x v="1"/>
    <x v="0"/>
    <x v="0"/>
    <s v="Product D"/>
    <n v="444.43"/>
    <n v="7"/>
    <n v="155.94"/>
  </r>
  <r>
    <n v="791"/>
    <d v="2020-07-24T00:00:00"/>
    <x v="3"/>
    <x v="1"/>
    <d v="2020-07-25T00:00:00"/>
    <n v="1"/>
    <x v="0"/>
    <s v="Customer 263"/>
    <x v="0"/>
    <s v="India"/>
    <s v="Mumbai"/>
    <s v="Maharashtra"/>
    <x v="2"/>
    <x v="0"/>
    <x v="0"/>
    <s v="Product D"/>
    <n v="219.21"/>
    <n v="2"/>
    <n v="68.400000000000006"/>
  </r>
  <r>
    <n v="792"/>
    <d v="2025-12-09T00:00:00"/>
    <x v="0"/>
    <x v="10"/>
    <d v="2025-12-19T00:00:00"/>
    <n v="10"/>
    <x v="2"/>
    <s v="Customer 279"/>
    <x v="0"/>
    <s v="Canada"/>
    <s v="Montreal"/>
    <s v="Quebec"/>
    <x v="0"/>
    <x v="2"/>
    <x v="4"/>
    <s v="Product D"/>
    <n v="394.86"/>
    <n v="2"/>
    <n v="-68.8"/>
  </r>
  <r>
    <n v="793"/>
    <d v="2022-11-19T00:00:00"/>
    <x v="2"/>
    <x v="11"/>
    <d v="2022-11-20T00:00:00"/>
    <n v="1"/>
    <x v="1"/>
    <s v="Customer 227"/>
    <x v="0"/>
    <s v="India"/>
    <s v="Delhi"/>
    <s v="Delhi"/>
    <x v="4"/>
    <x v="1"/>
    <x v="2"/>
    <s v="Product A"/>
    <n v="172.89"/>
    <n v="4"/>
    <n v="50.51"/>
  </r>
  <r>
    <n v="794"/>
    <d v="2025-11-30T00:00:00"/>
    <x v="0"/>
    <x v="11"/>
    <d v="2025-12-08T00:00:00"/>
    <n v="8"/>
    <x v="0"/>
    <s v="Customer 179"/>
    <x v="0"/>
    <s v="USA"/>
    <s v="Los Angeles"/>
    <s v="California"/>
    <x v="2"/>
    <x v="2"/>
    <x v="4"/>
    <s v="Product B"/>
    <n v="302.2"/>
    <n v="8"/>
    <n v="-11.18"/>
  </r>
  <r>
    <n v="795"/>
    <d v="2024-10-29T00:00:00"/>
    <x v="1"/>
    <x v="3"/>
    <d v="2024-11-02T00:00:00"/>
    <n v="4"/>
    <x v="1"/>
    <s v="Customer 55"/>
    <x v="1"/>
    <s v="India"/>
    <s v="Delhi"/>
    <s v="Delhi"/>
    <x v="4"/>
    <x v="0"/>
    <x v="0"/>
    <s v="Product B"/>
    <n v="272.89999999999998"/>
    <n v="7"/>
    <n v="83.43"/>
  </r>
  <r>
    <n v="796"/>
    <d v="2021-04-04T00:00:00"/>
    <x v="4"/>
    <x v="7"/>
    <d v="2021-04-06T00:00:00"/>
    <n v="2"/>
    <x v="0"/>
    <s v="Customer 189"/>
    <x v="2"/>
    <s v="Canada"/>
    <s v="Montreal"/>
    <s v="Quebec"/>
    <x v="0"/>
    <x v="1"/>
    <x v="3"/>
    <s v="Product B"/>
    <n v="145.76"/>
    <n v="10"/>
    <n v="32.82"/>
  </r>
  <r>
    <n v="797"/>
    <d v="2021-06-03T00:00:00"/>
    <x v="4"/>
    <x v="2"/>
    <d v="2021-06-12T00:00:00"/>
    <n v="9"/>
    <x v="0"/>
    <s v="Customer 156"/>
    <x v="0"/>
    <s v="Canada"/>
    <s v="Vancouver"/>
    <s v="British Columbia"/>
    <x v="2"/>
    <x v="0"/>
    <x v="1"/>
    <s v="Product A"/>
    <n v="250.2"/>
    <n v="7"/>
    <n v="91.29"/>
  </r>
  <r>
    <n v="798"/>
    <d v="2021-06-27T00:00:00"/>
    <x v="4"/>
    <x v="2"/>
    <d v="2021-06-30T00:00:00"/>
    <n v="3"/>
    <x v="2"/>
    <s v="Customer 98"/>
    <x v="2"/>
    <s v="USA"/>
    <s v="Chicago"/>
    <s v="Illinois"/>
    <x v="3"/>
    <x v="0"/>
    <x v="1"/>
    <s v="Product C"/>
    <n v="207.3"/>
    <n v="4"/>
    <n v="-22.81"/>
  </r>
  <r>
    <n v="799"/>
    <d v="2022-12-17T00:00:00"/>
    <x v="2"/>
    <x v="10"/>
    <d v="2022-12-18T00:00:00"/>
    <n v="1"/>
    <x v="0"/>
    <s v="Customer 88"/>
    <x v="1"/>
    <s v="India"/>
    <s v="Bangalore"/>
    <s v="Karnataka"/>
    <x v="1"/>
    <x v="0"/>
    <x v="0"/>
    <s v="Product B"/>
    <n v="350.04"/>
    <n v="10"/>
    <n v="139.13999999999999"/>
  </r>
  <r>
    <n v="800"/>
    <d v="2021-01-27T00:00:00"/>
    <x v="4"/>
    <x v="4"/>
    <d v="2021-02-06T00:00:00"/>
    <n v="10"/>
    <x v="1"/>
    <s v="Customer 43"/>
    <x v="1"/>
    <s v="India"/>
    <s v="Mumbai"/>
    <s v="Maharashtra"/>
    <x v="2"/>
    <x v="0"/>
    <x v="1"/>
    <s v="Product D"/>
    <n v="160.34"/>
    <n v="6"/>
    <n v="45.39"/>
  </r>
  <r>
    <n v="801"/>
    <d v="2023-05-11T00:00:00"/>
    <x v="5"/>
    <x v="0"/>
    <d v="2023-05-17T00:00:00"/>
    <n v="6"/>
    <x v="2"/>
    <s v="Customer 202"/>
    <x v="0"/>
    <s v="Canada"/>
    <s v="Toronto"/>
    <s v="Ontario"/>
    <x v="0"/>
    <x v="2"/>
    <x v="4"/>
    <s v="Product D"/>
    <n v="485.01"/>
    <n v="8"/>
    <n v="-72.61"/>
  </r>
  <r>
    <n v="802"/>
    <d v="2023-07-27T00:00:00"/>
    <x v="5"/>
    <x v="1"/>
    <d v="2023-07-29T00:00:00"/>
    <n v="2"/>
    <x v="1"/>
    <s v="Customer 63"/>
    <x v="2"/>
    <s v="India"/>
    <s v="Mumbai"/>
    <s v="Maharashtra"/>
    <x v="2"/>
    <x v="1"/>
    <x v="2"/>
    <s v="Product B"/>
    <n v="84.89"/>
    <n v="1"/>
    <n v="20.420000000000002"/>
  </r>
  <r>
    <n v="803"/>
    <d v="2020-07-17T00:00:00"/>
    <x v="3"/>
    <x v="1"/>
    <d v="2020-07-18T00:00:00"/>
    <n v="1"/>
    <x v="3"/>
    <s v="Customer 172"/>
    <x v="0"/>
    <s v="USA"/>
    <s v="Chicago"/>
    <s v="Illinois"/>
    <x v="3"/>
    <x v="0"/>
    <x v="0"/>
    <s v="Product A"/>
    <n v="410.7"/>
    <n v="5"/>
    <n v="46.19"/>
  </r>
  <r>
    <n v="804"/>
    <d v="2023-03-01T00:00:00"/>
    <x v="5"/>
    <x v="5"/>
    <d v="2023-03-08T00:00:00"/>
    <n v="7"/>
    <x v="0"/>
    <s v="Customer 136"/>
    <x v="2"/>
    <s v="India"/>
    <s v="Mumbai"/>
    <s v="Maharashtra"/>
    <x v="2"/>
    <x v="0"/>
    <x v="1"/>
    <s v="Product D"/>
    <n v="99.16"/>
    <n v="1"/>
    <n v="6.68"/>
  </r>
  <r>
    <n v="805"/>
    <d v="2023-10-01T00:00:00"/>
    <x v="5"/>
    <x v="3"/>
    <d v="2023-10-09T00:00:00"/>
    <n v="8"/>
    <x v="2"/>
    <s v="Customer 54"/>
    <x v="2"/>
    <s v="USA"/>
    <s v="New York"/>
    <s v="New York"/>
    <x v="0"/>
    <x v="2"/>
    <x v="5"/>
    <s v="Product D"/>
    <n v="130.87"/>
    <n v="8"/>
    <n v="-26.86"/>
  </r>
  <r>
    <n v="806"/>
    <d v="2021-12-18T00:00:00"/>
    <x v="4"/>
    <x v="10"/>
    <d v="2021-12-20T00:00:00"/>
    <n v="2"/>
    <x v="1"/>
    <s v="Customer 172"/>
    <x v="1"/>
    <s v="USA"/>
    <s v="Chicago"/>
    <s v="Illinois"/>
    <x v="3"/>
    <x v="2"/>
    <x v="4"/>
    <s v="Product A"/>
    <n v="459.95"/>
    <n v="7"/>
    <n v="31.06"/>
  </r>
  <r>
    <n v="807"/>
    <d v="2023-09-22T00:00:00"/>
    <x v="5"/>
    <x v="6"/>
    <d v="2023-09-29T00:00:00"/>
    <n v="7"/>
    <x v="0"/>
    <s v="Customer 161"/>
    <x v="2"/>
    <s v="Canada"/>
    <s v="Vancouver"/>
    <s v="British Columbia"/>
    <x v="2"/>
    <x v="2"/>
    <x v="5"/>
    <s v="Product C"/>
    <n v="238.87"/>
    <n v="9"/>
    <n v="57.71"/>
  </r>
  <r>
    <n v="808"/>
    <d v="2025-10-30T00:00:00"/>
    <x v="0"/>
    <x v="3"/>
    <d v="2025-11-03T00:00:00"/>
    <n v="4"/>
    <x v="3"/>
    <s v="Customer 99"/>
    <x v="2"/>
    <s v="USA"/>
    <s v="New York"/>
    <s v="New York"/>
    <x v="0"/>
    <x v="1"/>
    <x v="3"/>
    <s v="Product A"/>
    <n v="291.16000000000003"/>
    <n v="10"/>
    <n v="27.44"/>
  </r>
  <r>
    <n v="809"/>
    <d v="2023-11-19T00:00:00"/>
    <x v="5"/>
    <x v="11"/>
    <d v="2023-11-28T00:00:00"/>
    <n v="9"/>
    <x v="0"/>
    <s v="Customer 150"/>
    <x v="0"/>
    <s v="Canada"/>
    <s v="Montreal"/>
    <s v="Quebec"/>
    <x v="0"/>
    <x v="1"/>
    <x v="2"/>
    <s v="Product B"/>
    <n v="480.33"/>
    <n v="4"/>
    <n v="164.69"/>
  </r>
  <r>
    <n v="810"/>
    <d v="2024-11-17T00:00:00"/>
    <x v="1"/>
    <x v="11"/>
    <d v="2024-11-25T00:00:00"/>
    <n v="8"/>
    <x v="0"/>
    <s v="Customer 257"/>
    <x v="0"/>
    <s v="USA"/>
    <s v="New York"/>
    <s v="New York"/>
    <x v="0"/>
    <x v="2"/>
    <x v="5"/>
    <s v="Product A"/>
    <n v="380.17"/>
    <n v="9"/>
    <n v="53.99"/>
  </r>
  <r>
    <n v="811"/>
    <d v="2022-11-29T00:00:00"/>
    <x v="2"/>
    <x v="11"/>
    <d v="2022-12-03T00:00:00"/>
    <n v="4"/>
    <x v="3"/>
    <s v="Customer 224"/>
    <x v="1"/>
    <s v="Canada"/>
    <s v="Vancouver"/>
    <s v="British Columbia"/>
    <x v="2"/>
    <x v="2"/>
    <x v="4"/>
    <s v="Product A"/>
    <n v="60.78"/>
    <n v="7"/>
    <n v="11.95"/>
  </r>
  <r>
    <n v="812"/>
    <d v="2020-09-05T00:00:00"/>
    <x v="3"/>
    <x v="6"/>
    <d v="2020-09-15T00:00:00"/>
    <n v="10"/>
    <x v="1"/>
    <s v="Customer 135"/>
    <x v="0"/>
    <s v="India"/>
    <s v="Mumbai"/>
    <s v="Maharashtra"/>
    <x v="2"/>
    <x v="0"/>
    <x v="1"/>
    <s v="Product B"/>
    <n v="295.31"/>
    <n v="7"/>
    <n v="91.85"/>
  </r>
  <r>
    <n v="813"/>
    <d v="2022-04-15T00:00:00"/>
    <x v="2"/>
    <x v="7"/>
    <d v="2022-04-19T00:00:00"/>
    <n v="4"/>
    <x v="0"/>
    <s v="Customer 230"/>
    <x v="1"/>
    <s v="USA"/>
    <s v="New York"/>
    <s v="New York"/>
    <x v="0"/>
    <x v="0"/>
    <x v="1"/>
    <s v="Product B"/>
    <n v="62.03"/>
    <n v="9"/>
    <n v="-17.920000000000002"/>
  </r>
  <r>
    <n v="814"/>
    <d v="2023-06-02T00:00:00"/>
    <x v="5"/>
    <x v="2"/>
    <d v="2023-06-08T00:00:00"/>
    <n v="6"/>
    <x v="3"/>
    <s v="Customer 58"/>
    <x v="2"/>
    <s v="USA"/>
    <s v="Chicago"/>
    <s v="Illinois"/>
    <x v="3"/>
    <x v="0"/>
    <x v="1"/>
    <s v="Product D"/>
    <n v="246.67"/>
    <n v="7"/>
    <n v="-13.01"/>
  </r>
  <r>
    <n v="815"/>
    <d v="2020-11-11T00:00:00"/>
    <x v="3"/>
    <x v="11"/>
    <d v="2020-11-13T00:00:00"/>
    <n v="2"/>
    <x v="1"/>
    <s v="Customer 287"/>
    <x v="0"/>
    <s v="USA"/>
    <s v="Los Angeles"/>
    <s v="California"/>
    <x v="2"/>
    <x v="2"/>
    <x v="5"/>
    <s v="Product B"/>
    <n v="84.17"/>
    <n v="2"/>
    <n v="13.83"/>
  </r>
  <r>
    <n v="816"/>
    <d v="2023-03-08T00:00:00"/>
    <x v="5"/>
    <x v="5"/>
    <d v="2023-03-15T00:00:00"/>
    <n v="7"/>
    <x v="0"/>
    <s v="Customer 78"/>
    <x v="0"/>
    <s v="USA"/>
    <s v="New York"/>
    <s v="New York"/>
    <x v="0"/>
    <x v="0"/>
    <x v="1"/>
    <s v="Product A"/>
    <n v="282.52"/>
    <n v="8"/>
    <n v="47.96"/>
  </r>
  <r>
    <n v="817"/>
    <d v="2021-12-28T00:00:00"/>
    <x v="4"/>
    <x v="10"/>
    <d v="2022-01-06T00:00:00"/>
    <n v="9"/>
    <x v="3"/>
    <s v="Customer 206"/>
    <x v="0"/>
    <s v="Canada"/>
    <s v="Montreal"/>
    <s v="Quebec"/>
    <x v="0"/>
    <x v="2"/>
    <x v="4"/>
    <s v="Product B"/>
    <n v="291.91000000000003"/>
    <n v="2"/>
    <n v="28.58"/>
  </r>
  <r>
    <n v="818"/>
    <d v="2022-01-31T00:00:00"/>
    <x v="2"/>
    <x v="4"/>
    <d v="2022-02-01T00:00:00"/>
    <n v="1"/>
    <x v="0"/>
    <s v="Customer 82"/>
    <x v="2"/>
    <s v="Canada"/>
    <s v="Vancouver"/>
    <s v="British Columbia"/>
    <x v="2"/>
    <x v="0"/>
    <x v="1"/>
    <s v="Product B"/>
    <n v="466.73"/>
    <n v="3"/>
    <n v="-124.87"/>
  </r>
  <r>
    <n v="819"/>
    <d v="2020-01-20T00:00:00"/>
    <x v="3"/>
    <x v="4"/>
    <d v="2020-01-23T00:00:00"/>
    <n v="3"/>
    <x v="0"/>
    <s v="Customer 92"/>
    <x v="1"/>
    <s v="Canada"/>
    <s v="Toronto"/>
    <s v="Ontario"/>
    <x v="0"/>
    <x v="1"/>
    <x v="3"/>
    <s v="Product C"/>
    <n v="179.83"/>
    <n v="1"/>
    <n v="-31.43"/>
  </r>
  <r>
    <n v="820"/>
    <d v="2020-01-02T00:00:00"/>
    <x v="3"/>
    <x v="4"/>
    <d v="2020-01-08T00:00:00"/>
    <n v="6"/>
    <x v="1"/>
    <s v="Customer 178"/>
    <x v="1"/>
    <s v="India"/>
    <s v="Mumbai"/>
    <s v="Maharashtra"/>
    <x v="2"/>
    <x v="1"/>
    <x v="3"/>
    <s v="Product A"/>
    <n v="119.75"/>
    <n v="4"/>
    <n v="35.75"/>
  </r>
  <r>
    <n v="821"/>
    <d v="2021-12-07T00:00:00"/>
    <x v="4"/>
    <x v="10"/>
    <d v="2021-12-13T00:00:00"/>
    <n v="6"/>
    <x v="0"/>
    <s v="Customer 188"/>
    <x v="1"/>
    <s v="USA"/>
    <s v="Los Angeles"/>
    <s v="California"/>
    <x v="2"/>
    <x v="2"/>
    <x v="4"/>
    <s v="Product C"/>
    <n v="158.38999999999999"/>
    <n v="10"/>
    <n v="-39.07"/>
  </r>
  <r>
    <n v="822"/>
    <d v="2023-03-11T00:00:00"/>
    <x v="5"/>
    <x v="5"/>
    <d v="2023-03-15T00:00:00"/>
    <n v="4"/>
    <x v="1"/>
    <s v="Customer 57"/>
    <x v="2"/>
    <s v="Canada"/>
    <s v="Montreal"/>
    <s v="Quebec"/>
    <x v="0"/>
    <x v="1"/>
    <x v="2"/>
    <s v="Product A"/>
    <n v="119.38"/>
    <n v="7"/>
    <n v="54.29"/>
  </r>
  <r>
    <n v="823"/>
    <d v="2020-12-25T00:00:00"/>
    <x v="3"/>
    <x v="10"/>
    <d v="2020-12-29T00:00:00"/>
    <n v="4"/>
    <x v="1"/>
    <s v="Customer 213"/>
    <x v="0"/>
    <s v="India"/>
    <s v="Bangalore"/>
    <s v="Karnataka"/>
    <x v="1"/>
    <x v="0"/>
    <x v="1"/>
    <s v="Product B"/>
    <n v="414.26"/>
    <n v="4"/>
    <n v="-52.41"/>
  </r>
  <r>
    <n v="824"/>
    <d v="2020-04-03T00:00:00"/>
    <x v="3"/>
    <x v="7"/>
    <d v="2020-04-06T00:00:00"/>
    <n v="3"/>
    <x v="2"/>
    <s v="Customer 78"/>
    <x v="2"/>
    <s v="USA"/>
    <s v="New York"/>
    <s v="New York"/>
    <x v="0"/>
    <x v="1"/>
    <x v="2"/>
    <s v="Product B"/>
    <n v="31.3"/>
    <n v="3"/>
    <n v="5.63"/>
  </r>
  <r>
    <n v="825"/>
    <d v="2024-05-15T00:00:00"/>
    <x v="1"/>
    <x v="0"/>
    <d v="2024-05-21T00:00:00"/>
    <n v="6"/>
    <x v="2"/>
    <s v="Customer 135"/>
    <x v="0"/>
    <s v="Canada"/>
    <s v="Montreal"/>
    <s v="Quebec"/>
    <x v="0"/>
    <x v="2"/>
    <x v="4"/>
    <s v="Product A"/>
    <n v="131.55000000000001"/>
    <n v="10"/>
    <n v="-1.81"/>
  </r>
  <r>
    <n v="826"/>
    <d v="2023-08-19T00:00:00"/>
    <x v="5"/>
    <x v="8"/>
    <d v="2023-08-20T00:00:00"/>
    <n v="1"/>
    <x v="1"/>
    <s v="Customer 18"/>
    <x v="1"/>
    <s v="USA"/>
    <s v="New York"/>
    <s v="New York"/>
    <x v="0"/>
    <x v="2"/>
    <x v="4"/>
    <s v="Product C"/>
    <n v="494.25"/>
    <n v="8"/>
    <n v="-80.87"/>
  </r>
  <r>
    <n v="827"/>
    <d v="2024-02-19T00:00:00"/>
    <x v="1"/>
    <x v="9"/>
    <d v="2024-02-21T00:00:00"/>
    <n v="2"/>
    <x v="2"/>
    <s v="Customer 292"/>
    <x v="1"/>
    <s v="India"/>
    <s v="Mumbai"/>
    <s v="Maharashtra"/>
    <x v="2"/>
    <x v="2"/>
    <x v="5"/>
    <s v="Product B"/>
    <n v="286.32"/>
    <n v="1"/>
    <n v="128.28"/>
  </r>
  <r>
    <n v="828"/>
    <d v="2022-05-26T00:00:00"/>
    <x v="2"/>
    <x v="0"/>
    <d v="2022-06-04T00:00:00"/>
    <n v="9"/>
    <x v="3"/>
    <s v="Customer 122"/>
    <x v="2"/>
    <s v="Canada"/>
    <s v="Vancouver"/>
    <s v="British Columbia"/>
    <x v="2"/>
    <x v="0"/>
    <x v="0"/>
    <s v="Product B"/>
    <n v="398.71"/>
    <n v="7"/>
    <n v="177.28"/>
  </r>
  <r>
    <n v="829"/>
    <d v="2024-02-09T00:00:00"/>
    <x v="1"/>
    <x v="9"/>
    <d v="2024-02-19T00:00:00"/>
    <n v="10"/>
    <x v="2"/>
    <s v="Customer 284"/>
    <x v="1"/>
    <s v="India"/>
    <s v="Delhi"/>
    <s v="Delhi"/>
    <x v="4"/>
    <x v="0"/>
    <x v="0"/>
    <s v="Product B"/>
    <n v="334.98"/>
    <n v="4"/>
    <n v="54.77"/>
  </r>
  <r>
    <n v="830"/>
    <d v="2021-02-08T00:00:00"/>
    <x v="4"/>
    <x v="9"/>
    <d v="2021-02-11T00:00:00"/>
    <n v="3"/>
    <x v="3"/>
    <s v="Customer 7"/>
    <x v="0"/>
    <s v="Canada"/>
    <s v="Vancouver"/>
    <s v="British Columbia"/>
    <x v="2"/>
    <x v="2"/>
    <x v="5"/>
    <s v="Product C"/>
    <n v="314.95"/>
    <n v="1"/>
    <n v="96.6"/>
  </r>
  <r>
    <n v="831"/>
    <d v="2025-09-11T00:00:00"/>
    <x v="0"/>
    <x v="6"/>
    <d v="2025-09-12T00:00:00"/>
    <n v="1"/>
    <x v="0"/>
    <s v="Customer 44"/>
    <x v="0"/>
    <s v="India"/>
    <s v="Delhi"/>
    <s v="Delhi"/>
    <x v="4"/>
    <x v="1"/>
    <x v="2"/>
    <s v="Product B"/>
    <n v="344.33"/>
    <n v="2"/>
    <n v="31.07"/>
  </r>
  <r>
    <n v="832"/>
    <d v="2021-10-31T00:00:00"/>
    <x v="4"/>
    <x v="3"/>
    <d v="2021-11-08T00:00:00"/>
    <n v="8"/>
    <x v="0"/>
    <s v="Customer 12"/>
    <x v="1"/>
    <s v="USA"/>
    <s v="Los Angeles"/>
    <s v="California"/>
    <x v="2"/>
    <x v="1"/>
    <x v="3"/>
    <s v="Product D"/>
    <n v="33.56"/>
    <n v="10"/>
    <n v="8.4"/>
  </r>
  <r>
    <n v="833"/>
    <d v="2023-02-10T00:00:00"/>
    <x v="5"/>
    <x v="9"/>
    <d v="2023-02-15T00:00:00"/>
    <n v="5"/>
    <x v="2"/>
    <s v="Customer 254"/>
    <x v="0"/>
    <s v="Canada"/>
    <s v="Vancouver"/>
    <s v="British Columbia"/>
    <x v="2"/>
    <x v="1"/>
    <x v="2"/>
    <s v="Product A"/>
    <n v="353.03"/>
    <n v="8"/>
    <n v="16.809999999999999"/>
  </r>
  <r>
    <n v="834"/>
    <d v="2023-02-27T00:00:00"/>
    <x v="5"/>
    <x v="9"/>
    <d v="2023-03-07T00:00:00"/>
    <n v="8"/>
    <x v="1"/>
    <s v="Customer 8"/>
    <x v="0"/>
    <s v="Canada"/>
    <s v="Montreal"/>
    <s v="Quebec"/>
    <x v="0"/>
    <x v="2"/>
    <x v="4"/>
    <s v="Product C"/>
    <n v="442.47"/>
    <n v="4"/>
    <n v="-109.44"/>
  </r>
  <r>
    <n v="835"/>
    <d v="2022-01-20T00:00:00"/>
    <x v="2"/>
    <x v="4"/>
    <d v="2022-01-26T00:00:00"/>
    <n v="6"/>
    <x v="0"/>
    <s v="Customer 151"/>
    <x v="1"/>
    <s v="India"/>
    <s v="Delhi"/>
    <s v="Delhi"/>
    <x v="4"/>
    <x v="0"/>
    <x v="0"/>
    <s v="Product A"/>
    <n v="306.62"/>
    <n v="7"/>
    <n v="-86.07"/>
  </r>
  <r>
    <n v="836"/>
    <d v="2025-09-25T00:00:00"/>
    <x v="0"/>
    <x v="6"/>
    <d v="2025-09-27T00:00:00"/>
    <n v="2"/>
    <x v="0"/>
    <s v="Customer 41"/>
    <x v="2"/>
    <s v="India"/>
    <s v="Delhi"/>
    <s v="Delhi"/>
    <x v="4"/>
    <x v="2"/>
    <x v="5"/>
    <s v="Product A"/>
    <n v="497.48"/>
    <n v="2"/>
    <n v="106.91"/>
  </r>
  <r>
    <n v="837"/>
    <d v="2020-08-06T00:00:00"/>
    <x v="3"/>
    <x v="8"/>
    <d v="2020-08-07T00:00:00"/>
    <n v="1"/>
    <x v="2"/>
    <s v="Customer 9"/>
    <x v="1"/>
    <s v="USA"/>
    <s v="Chicago"/>
    <s v="Illinois"/>
    <x v="3"/>
    <x v="2"/>
    <x v="4"/>
    <s v="Product C"/>
    <n v="60.47"/>
    <n v="3"/>
    <n v="18.77"/>
  </r>
  <r>
    <n v="838"/>
    <d v="2022-01-28T00:00:00"/>
    <x v="2"/>
    <x v="4"/>
    <d v="2022-02-06T00:00:00"/>
    <n v="9"/>
    <x v="1"/>
    <s v="Customer 227"/>
    <x v="0"/>
    <s v="India"/>
    <s v="Mumbai"/>
    <s v="Maharashtra"/>
    <x v="2"/>
    <x v="0"/>
    <x v="0"/>
    <s v="Product B"/>
    <n v="344.23"/>
    <n v="5"/>
    <n v="-36.61"/>
  </r>
  <r>
    <n v="839"/>
    <d v="2020-02-04T00:00:00"/>
    <x v="3"/>
    <x v="9"/>
    <d v="2020-02-13T00:00:00"/>
    <n v="9"/>
    <x v="1"/>
    <s v="Customer 255"/>
    <x v="0"/>
    <s v="India"/>
    <s v="Delhi"/>
    <s v="Delhi"/>
    <x v="4"/>
    <x v="2"/>
    <x v="4"/>
    <s v="Product D"/>
    <n v="278.43"/>
    <n v="9"/>
    <n v="-81.72"/>
  </r>
  <r>
    <n v="840"/>
    <d v="2022-11-17T00:00:00"/>
    <x v="2"/>
    <x v="11"/>
    <d v="2022-11-25T00:00:00"/>
    <n v="8"/>
    <x v="2"/>
    <s v="Customer 297"/>
    <x v="1"/>
    <s v="Canada"/>
    <s v="Vancouver"/>
    <s v="British Columbia"/>
    <x v="2"/>
    <x v="2"/>
    <x v="4"/>
    <s v="Product C"/>
    <n v="279.27"/>
    <n v="2"/>
    <n v="-71.36"/>
  </r>
  <r>
    <n v="841"/>
    <d v="2023-04-01T00:00:00"/>
    <x v="5"/>
    <x v="7"/>
    <d v="2023-04-04T00:00:00"/>
    <n v="3"/>
    <x v="1"/>
    <s v="Customer 42"/>
    <x v="0"/>
    <s v="USA"/>
    <s v="New York"/>
    <s v="New York"/>
    <x v="0"/>
    <x v="0"/>
    <x v="1"/>
    <s v="Product D"/>
    <n v="136.16"/>
    <n v="1"/>
    <n v="42.2"/>
  </r>
  <r>
    <n v="842"/>
    <d v="2021-08-22T00:00:00"/>
    <x v="4"/>
    <x v="8"/>
    <d v="2021-08-23T00:00:00"/>
    <n v="1"/>
    <x v="0"/>
    <s v="Customer 240"/>
    <x v="1"/>
    <s v="Canada"/>
    <s v="Montreal"/>
    <s v="Quebec"/>
    <x v="0"/>
    <x v="1"/>
    <x v="3"/>
    <s v="Product B"/>
    <n v="52.04"/>
    <n v="2"/>
    <n v="-13.81"/>
  </r>
  <r>
    <n v="843"/>
    <d v="2022-08-18T00:00:00"/>
    <x v="2"/>
    <x v="8"/>
    <d v="2022-08-27T00:00:00"/>
    <n v="9"/>
    <x v="1"/>
    <s v="Customer 106"/>
    <x v="1"/>
    <s v="India"/>
    <s v="Mumbai"/>
    <s v="Maharashtra"/>
    <x v="2"/>
    <x v="1"/>
    <x v="2"/>
    <s v="Product B"/>
    <n v="496.98"/>
    <n v="8"/>
    <n v="146.74"/>
  </r>
  <r>
    <n v="844"/>
    <d v="2023-08-14T00:00:00"/>
    <x v="5"/>
    <x v="8"/>
    <d v="2023-08-16T00:00:00"/>
    <n v="2"/>
    <x v="1"/>
    <s v="Customer 141"/>
    <x v="2"/>
    <s v="India"/>
    <s v="Mumbai"/>
    <s v="Maharashtra"/>
    <x v="2"/>
    <x v="0"/>
    <x v="1"/>
    <s v="Product D"/>
    <n v="157.02000000000001"/>
    <n v="1"/>
    <n v="-20.38"/>
  </r>
  <r>
    <n v="845"/>
    <d v="2023-02-23T00:00:00"/>
    <x v="5"/>
    <x v="9"/>
    <d v="2023-03-01T00:00:00"/>
    <n v="6"/>
    <x v="0"/>
    <s v="Customer 221"/>
    <x v="1"/>
    <s v="India"/>
    <s v="Mumbai"/>
    <s v="Maharashtra"/>
    <x v="2"/>
    <x v="1"/>
    <x v="3"/>
    <s v="Product D"/>
    <n v="358.43"/>
    <n v="5"/>
    <n v="75.86"/>
  </r>
  <r>
    <n v="846"/>
    <d v="2020-10-19T00:00:00"/>
    <x v="3"/>
    <x v="3"/>
    <d v="2020-10-29T00:00:00"/>
    <n v="10"/>
    <x v="2"/>
    <s v="Customer 271"/>
    <x v="0"/>
    <s v="India"/>
    <s v="Bangalore"/>
    <s v="Karnataka"/>
    <x v="1"/>
    <x v="2"/>
    <x v="5"/>
    <s v="Product B"/>
    <n v="124.11"/>
    <n v="9"/>
    <n v="56.99"/>
  </r>
  <r>
    <n v="847"/>
    <d v="2020-09-27T00:00:00"/>
    <x v="3"/>
    <x v="6"/>
    <d v="2020-10-03T00:00:00"/>
    <n v="6"/>
    <x v="0"/>
    <s v="Customer 274"/>
    <x v="1"/>
    <s v="India"/>
    <s v="Mumbai"/>
    <s v="Maharashtra"/>
    <x v="2"/>
    <x v="2"/>
    <x v="5"/>
    <s v="Product D"/>
    <n v="24.38"/>
    <n v="1"/>
    <n v="6.28"/>
  </r>
  <r>
    <n v="848"/>
    <d v="2024-08-12T00:00:00"/>
    <x v="1"/>
    <x v="8"/>
    <d v="2024-08-20T00:00:00"/>
    <n v="8"/>
    <x v="3"/>
    <s v="Customer 159"/>
    <x v="2"/>
    <s v="USA"/>
    <s v="New York"/>
    <s v="New York"/>
    <x v="0"/>
    <x v="1"/>
    <x v="3"/>
    <s v="Product B"/>
    <n v="32.619999999999997"/>
    <n v="5"/>
    <n v="9.9600000000000009"/>
  </r>
  <r>
    <n v="849"/>
    <d v="2020-09-04T00:00:00"/>
    <x v="3"/>
    <x v="6"/>
    <d v="2020-09-13T00:00:00"/>
    <n v="9"/>
    <x v="2"/>
    <s v="Customer 212"/>
    <x v="0"/>
    <s v="Canada"/>
    <s v="Vancouver"/>
    <s v="British Columbia"/>
    <x v="2"/>
    <x v="1"/>
    <x v="2"/>
    <s v="Product B"/>
    <n v="89.01"/>
    <n v="8"/>
    <n v="35.659999999999997"/>
  </r>
  <r>
    <n v="850"/>
    <d v="2023-12-13T00:00:00"/>
    <x v="5"/>
    <x v="10"/>
    <d v="2023-12-14T00:00:00"/>
    <n v="1"/>
    <x v="1"/>
    <s v="Customer 193"/>
    <x v="2"/>
    <s v="India"/>
    <s v="Bangalore"/>
    <s v="Karnataka"/>
    <x v="1"/>
    <x v="1"/>
    <x v="3"/>
    <s v="Product B"/>
    <n v="31.13"/>
    <n v="5"/>
    <n v="8.08"/>
  </r>
  <r>
    <n v="851"/>
    <d v="2022-09-30T00:00:00"/>
    <x v="2"/>
    <x v="6"/>
    <d v="2022-10-09T00:00:00"/>
    <n v="9"/>
    <x v="0"/>
    <s v="Customer 13"/>
    <x v="2"/>
    <s v="USA"/>
    <s v="Los Angeles"/>
    <s v="California"/>
    <x v="2"/>
    <x v="0"/>
    <x v="1"/>
    <s v="Product D"/>
    <n v="68.489999999999995"/>
    <n v="6"/>
    <n v="-0.55000000000000004"/>
  </r>
  <r>
    <n v="852"/>
    <d v="2024-10-19T00:00:00"/>
    <x v="1"/>
    <x v="3"/>
    <d v="2024-10-26T00:00:00"/>
    <n v="7"/>
    <x v="0"/>
    <s v="Customer 29"/>
    <x v="1"/>
    <s v="Canada"/>
    <s v="Montreal"/>
    <s v="Quebec"/>
    <x v="0"/>
    <x v="0"/>
    <x v="0"/>
    <s v="Product B"/>
    <n v="488.83"/>
    <n v="9"/>
    <n v="6.81"/>
  </r>
  <r>
    <n v="853"/>
    <d v="2022-02-16T00:00:00"/>
    <x v="2"/>
    <x v="9"/>
    <d v="2022-02-17T00:00:00"/>
    <n v="1"/>
    <x v="3"/>
    <s v="Customer 97"/>
    <x v="2"/>
    <s v="India"/>
    <s v="Delhi"/>
    <s v="Delhi"/>
    <x v="4"/>
    <x v="2"/>
    <x v="4"/>
    <s v="Product C"/>
    <n v="29.85"/>
    <n v="7"/>
    <n v="10.82"/>
  </r>
  <r>
    <n v="854"/>
    <d v="2020-09-15T00:00:00"/>
    <x v="3"/>
    <x v="6"/>
    <d v="2020-09-23T00:00:00"/>
    <n v="8"/>
    <x v="2"/>
    <s v="Customer 133"/>
    <x v="2"/>
    <s v="India"/>
    <s v="Mumbai"/>
    <s v="Maharashtra"/>
    <x v="2"/>
    <x v="0"/>
    <x v="1"/>
    <s v="Product C"/>
    <n v="495.52"/>
    <n v="1"/>
    <n v="106.59"/>
  </r>
  <r>
    <n v="855"/>
    <d v="2022-09-14T00:00:00"/>
    <x v="2"/>
    <x v="6"/>
    <d v="2022-09-16T00:00:00"/>
    <n v="2"/>
    <x v="2"/>
    <s v="Customer 159"/>
    <x v="1"/>
    <s v="Canada"/>
    <s v="Toronto"/>
    <s v="Ontario"/>
    <x v="0"/>
    <x v="1"/>
    <x v="3"/>
    <s v="Product D"/>
    <n v="236.7"/>
    <n v="2"/>
    <n v="-46.83"/>
  </r>
  <r>
    <n v="856"/>
    <d v="2024-01-27T00:00:00"/>
    <x v="1"/>
    <x v="4"/>
    <d v="2024-02-04T00:00:00"/>
    <n v="8"/>
    <x v="2"/>
    <s v="Customer 282"/>
    <x v="2"/>
    <s v="Canada"/>
    <s v="Vancouver"/>
    <s v="British Columbia"/>
    <x v="2"/>
    <x v="2"/>
    <x v="4"/>
    <s v="Product C"/>
    <n v="141.01"/>
    <n v="1"/>
    <n v="67.72"/>
  </r>
  <r>
    <n v="857"/>
    <d v="2025-05-26T00:00:00"/>
    <x v="0"/>
    <x v="0"/>
    <d v="2025-06-02T00:00:00"/>
    <n v="7"/>
    <x v="1"/>
    <s v="Customer 189"/>
    <x v="2"/>
    <s v="Canada"/>
    <s v="Vancouver"/>
    <s v="British Columbia"/>
    <x v="2"/>
    <x v="1"/>
    <x v="2"/>
    <s v="Product C"/>
    <n v="279.23"/>
    <n v="10"/>
    <n v="-42.48"/>
  </r>
  <r>
    <n v="858"/>
    <d v="2021-12-15T00:00:00"/>
    <x v="4"/>
    <x v="10"/>
    <d v="2021-12-19T00:00:00"/>
    <n v="4"/>
    <x v="0"/>
    <s v="Customer 243"/>
    <x v="1"/>
    <s v="India"/>
    <s v="Delhi"/>
    <s v="Delhi"/>
    <x v="4"/>
    <x v="1"/>
    <x v="2"/>
    <s v="Product C"/>
    <n v="43.12"/>
    <n v="6"/>
    <n v="-4.78"/>
  </r>
  <r>
    <n v="859"/>
    <d v="2025-12-15T00:00:00"/>
    <x v="0"/>
    <x v="10"/>
    <d v="2025-12-22T00:00:00"/>
    <n v="7"/>
    <x v="0"/>
    <s v="Customer 215"/>
    <x v="2"/>
    <s v="USA"/>
    <s v="New York"/>
    <s v="New York"/>
    <x v="0"/>
    <x v="1"/>
    <x v="2"/>
    <s v="Product A"/>
    <n v="86.38"/>
    <n v="6"/>
    <n v="5.45"/>
  </r>
  <r>
    <n v="860"/>
    <d v="2025-06-24T00:00:00"/>
    <x v="0"/>
    <x v="2"/>
    <d v="2025-07-01T00:00:00"/>
    <n v="7"/>
    <x v="0"/>
    <s v="Customer 107"/>
    <x v="2"/>
    <s v="USA"/>
    <s v="Chicago"/>
    <s v="Illinois"/>
    <x v="3"/>
    <x v="0"/>
    <x v="0"/>
    <s v="Product B"/>
    <n v="454.98"/>
    <n v="2"/>
    <n v="36.68"/>
  </r>
  <r>
    <n v="861"/>
    <d v="2022-06-15T00:00:00"/>
    <x v="2"/>
    <x v="2"/>
    <d v="2022-06-16T00:00:00"/>
    <n v="1"/>
    <x v="2"/>
    <s v="Customer 257"/>
    <x v="1"/>
    <s v="Canada"/>
    <s v="Toronto"/>
    <s v="Ontario"/>
    <x v="0"/>
    <x v="1"/>
    <x v="3"/>
    <s v="Product B"/>
    <n v="354.66"/>
    <n v="1"/>
    <n v="-69.3"/>
  </r>
  <r>
    <n v="862"/>
    <d v="2021-09-26T00:00:00"/>
    <x v="4"/>
    <x v="6"/>
    <d v="2021-09-30T00:00:00"/>
    <n v="4"/>
    <x v="1"/>
    <s v="Customer 31"/>
    <x v="2"/>
    <s v="India"/>
    <s v="Delhi"/>
    <s v="Delhi"/>
    <x v="4"/>
    <x v="0"/>
    <x v="1"/>
    <s v="Product A"/>
    <n v="321.77999999999997"/>
    <n v="6"/>
    <n v="141.29"/>
  </r>
  <r>
    <n v="863"/>
    <d v="2022-09-29T00:00:00"/>
    <x v="2"/>
    <x v="6"/>
    <d v="2022-10-07T00:00:00"/>
    <n v="8"/>
    <x v="1"/>
    <s v="Customer 199"/>
    <x v="1"/>
    <s v="India"/>
    <s v="Bangalore"/>
    <s v="Karnataka"/>
    <x v="1"/>
    <x v="2"/>
    <x v="4"/>
    <s v="Product D"/>
    <n v="261.72000000000003"/>
    <n v="4"/>
    <n v="116.33"/>
  </r>
  <r>
    <n v="864"/>
    <d v="2021-07-22T00:00:00"/>
    <x v="4"/>
    <x v="1"/>
    <d v="2021-07-28T00:00:00"/>
    <n v="6"/>
    <x v="2"/>
    <s v="Customer 135"/>
    <x v="1"/>
    <s v="Canada"/>
    <s v="Vancouver"/>
    <s v="British Columbia"/>
    <x v="2"/>
    <x v="2"/>
    <x v="5"/>
    <s v="Product B"/>
    <n v="242.9"/>
    <n v="10"/>
    <n v="92.83"/>
  </r>
  <r>
    <n v="865"/>
    <d v="2022-06-18T00:00:00"/>
    <x v="2"/>
    <x v="2"/>
    <d v="2022-06-20T00:00:00"/>
    <n v="2"/>
    <x v="0"/>
    <s v="Customer 223"/>
    <x v="0"/>
    <s v="Canada"/>
    <s v="Montreal"/>
    <s v="Quebec"/>
    <x v="0"/>
    <x v="0"/>
    <x v="0"/>
    <s v="Product A"/>
    <n v="203.56"/>
    <n v="10"/>
    <n v="-48.31"/>
  </r>
  <r>
    <n v="866"/>
    <d v="2021-01-23T00:00:00"/>
    <x v="4"/>
    <x v="4"/>
    <d v="2021-01-27T00:00:00"/>
    <n v="4"/>
    <x v="2"/>
    <s v="Customer 85"/>
    <x v="0"/>
    <s v="India"/>
    <s v="Bangalore"/>
    <s v="Karnataka"/>
    <x v="1"/>
    <x v="2"/>
    <x v="5"/>
    <s v="Product D"/>
    <n v="47.11"/>
    <n v="10"/>
    <n v="21.1"/>
  </r>
  <r>
    <n v="867"/>
    <d v="2021-09-11T00:00:00"/>
    <x v="4"/>
    <x v="6"/>
    <d v="2021-09-21T00:00:00"/>
    <n v="10"/>
    <x v="2"/>
    <s v="Customer 223"/>
    <x v="0"/>
    <s v="USA"/>
    <s v="Los Angeles"/>
    <s v="California"/>
    <x v="2"/>
    <x v="1"/>
    <x v="2"/>
    <s v="Product A"/>
    <n v="131.71"/>
    <n v="8"/>
    <n v="3.18"/>
  </r>
  <r>
    <n v="868"/>
    <d v="2020-06-09T00:00:00"/>
    <x v="3"/>
    <x v="2"/>
    <d v="2020-06-12T00:00:00"/>
    <n v="3"/>
    <x v="0"/>
    <s v="Customer 257"/>
    <x v="0"/>
    <s v="USA"/>
    <s v="Los Angeles"/>
    <s v="California"/>
    <x v="2"/>
    <x v="0"/>
    <x v="0"/>
    <s v="Product D"/>
    <n v="249.31"/>
    <n v="10"/>
    <n v="122.72"/>
  </r>
  <r>
    <n v="869"/>
    <d v="2023-02-17T00:00:00"/>
    <x v="5"/>
    <x v="9"/>
    <d v="2023-02-27T00:00:00"/>
    <n v="10"/>
    <x v="0"/>
    <s v="Customer 242"/>
    <x v="1"/>
    <s v="USA"/>
    <s v="Chicago"/>
    <s v="Illinois"/>
    <x v="3"/>
    <x v="2"/>
    <x v="5"/>
    <s v="Product B"/>
    <n v="99.62"/>
    <n v="10"/>
    <n v="29.28"/>
  </r>
  <r>
    <n v="870"/>
    <d v="2023-03-19T00:00:00"/>
    <x v="5"/>
    <x v="5"/>
    <d v="2023-03-21T00:00:00"/>
    <n v="2"/>
    <x v="1"/>
    <s v="Customer 68"/>
    <x v="0"/>
    <s v="India"/>
    <s v="Delhi"/>
    <s v="Delhi"/>
    <x v="4"/>
    <x v="2"/>
    <x v="5"/>
    <s v="Product B"/>
    <n v="243.12"/>
    <n v="9"/>
    <n v="-33.020000000000003"/>
  </r>
  <r>
    <n v="871"/>
    <d v="2022-03-05T00:00:00"/>
    <x v="2"/>
    <x v="5"/>
    <d v="2022-03-07T00:00:00"/>
    <n v="2"/>
    <x v="3"/>
    <s v="Customer 31"/>
    <x v="1"/>
    <s v="USA"/>
    <s v="Los Angeles"/>
    <s v="California"/>
    <x v="2"/>
    <x v="2"/>
    <x v="5"/>
    <s v="Product D"/>
    <n v="311.60000000000002"/>
    <n v="6"/>
    <n v="46.02"/>
  </r>
  <r>
    <n v="872"/>
    <d v="2020-10-24T00:00:00"/>
    <x v="3"/>
    <x v="3"/>
    <d v="2020-11-01T00:00:00"/>
    <n v="8"/>
    <x v="1"/>
    <s v="Customer 279"/>
    <x v="1"/>
    <s v="Canada"/>
    <s v="Vancouver"/>
    <s v="British Columbia"/>
    <x v="2"/>
    <x v="1"/>
    <x v="2"/>
    <s v="Product B"/>
    <n v="401.25"/>
    <n v="1"/>
    <n v="-87.23"/>
  </r>
  <r>
    <n v="873"/>
    <d v="2020-10-17T00:00:00"/>
    <x v="3"/>
    <x v="3"/>
    <d v="2020-10-27T00:00:00"/>
    <n v="10"/>
    <x v="2"/>
    <s v="Customer 281"/>
    <x v="0"/>
    <s v="Canada"/>
    <s v="Toronto"/>
    <s v="Ontario"/>
    <x v="0"/>
    <x v="0"/>
    <x v="0"/>
    <s v="Product B"/>
    <n v="215.4"/>
    <n v="9"/>
    <n v="-51.21"/>
  </r>
  <r>
    <n v="874"/>
    <d v="2025-05-29T00:00:00"/>
    <x v="0"/>
    <x v="0"/>
    <d v="2025-06-05T00:00:00"/>
    <n v="7"/>
    <x v="1"/>
    <s v="Customer 266"/>
    <x v="1"/>
    <s v="Canada"/>
    <s v="Vancouver"/>
    <s v="British Columbia"/>
    <x v="2"/>
    <x v="1"/>
    <x v="2"/>
    <s v="Product C"/>
    <n v="173.95"/>
    <n v="3"/>
    <n v="74.239999999999995"/>
  </r>
  <r>
    <n v="875"/>
    <d v="2023-02-26T00:00:00"/>
    <x v="5"/>
    <x v="9"/>
    <d v="2023-03-07T00:00:00"/>
    <n v="9"/>
    <x v="1"/>
    <s v="Customer 218"/>
    <x v="2"/>
    <s v="Canada"/>
    <s v="Montreal"/>
    <s v="Quebec"/>
    <x v="0"/>
    <x v="0"/>
    <x v="0"/>
    <s v="Product B"/>
    <n v="224.66"/>
    <n v="4"/>
    <n v="106.49"/>
  </r>
  <r>
    <n v="876"/>
    <d v="2023-02-04T00:00:00"/>
    <x v="5"/>
    <x v="9"/>
    <d v="2023-02-10T00:00:00"/>
    <n v="6"/>
    <x v="3"/>
    <s v="Customer 40"/>
    <x v="1"/>
    <s v="USA"/>
    <s v="New York"/>
    <s v="New York"/>
    <x v="0"/>
    <x v="0"/>
    <x v="1"/>
    <s v="Product D"/>
    <n v="132.13999999999999"/>
    <n v="3"/>
    <n v="-0.84"/>
  </r>
  <r>
    <n v="877"/>
    <d v="2024-10-23T00:00:00"/>
    <x v="1"/>
    <x v="3"/>
    <d v="2024-10-25T00:00:00"/>
    <n v="2"/>
    <x v="2"/>
    <s v="Customer 20"/>
    <x v="1"/>
    <s v="Canada"/>
    <s v="Montreal"/>
    <s v="Quebec"/>
    <x v="0"/>
    <x v="2"/>
    <x v="4"/>
    <s v="Product C"/>
    <n v="71.489999999999995"/>
    <n v="7"/>
    <n v="-7.59"/>
  </r>
  <r>
    <n v="878"/>
    <d v="2023-12-27T00:00:00"/>
    <x v="5"/>
    <x v="10"/>
    <d v="2024-01-05T00:00:00"/>
    <n v="9"/>
    <x v="2"/>
    <s v="Customer 266"/>
    <x v="0"/>
    <s v="USA"/>
    <s v="Chicago"/>
    <s v="Illinois"/>
    <x v="3"/>
    <x v="2"/>
    <x v="5"/>
    <s v="Product B"/>
    <n v="321"/>
    <n v="10"/>
    <n v="50.71"/>
  </r>
  <r>
    <n v="879"/>
    <d v="2020-07-26T00:00:00"/>
    <x v="3"/>
    <x v="1"/>
    <d v="2020-08-03T00:00:00"/>
    <n v="8"/>
    <x v="0"/>
    <s v="Customer 209"/>
    <x v="0"/>
    <s v="Canada"/>
    <s v="Vancouver"/>
    <s v="British Columbia"/>
    <x v="2"/>
    <x v="0"/>
    <x v="1"/>
    <s v="Product B"/>
    <n v="493.08"/>
    <n v="1"/>
    <n v="58.76"/>
  </r>
  <r>
    <n v="880"/>
    <d v="2023-01-02T00:00:00"/>
    <x v="5"/>
    <x v="4"/>
    <d v="2023-01-11T00:00:00"/>
    <n v="9"/>
    <x v="1"/>
    <s v="Customer 132"/>
    <x v="2"/>
    <s v="India"/>
    <s v="Bangalore"/>
    <s v="Karnataka"/>
    <x v="1"/>
    <x v="1"/>
    <x v="2"/>
    <s v="Product A"/>
    <n v="286.39"/>
    <n v="4"/>
    <n v="2.0299999999999998"/>
  </r>
  <r>
    <n v="881"/>
    <d v="2021-09-26T00:00:00"/>
    <x v="4"/>
    <x v="6"/>
    <d v="2021-09-27T00:00:00"/>
    <n v="1"/>
    <x v="2"/>
    <s v="Customer 195"/>
    <x v="0"/>
    <s v="Canada"/>
    <s v="Toronto"/>
    <s v="Ontario"/>
    <x v="0"/>
    <x v="2"/>
    <x v="4"/>
    <s v="Product C"/>
    <n v="221.75"/>
    <n v="2"/>
    <n v="104.2"/>
  </r>
  <r>
    <n v="882"/>
    <d v="2024-06-24T00:00:00"/>
    <x v="1"/>
    <x v="2"/>
    <d v="2024-06-25T00:00:00"/>
    <n v="1"/>
    <x v="2"/>
    <s v="Customer 94"/>
    <x v="0"/>
    <s v="Canada"/>
    <s v="Vancouver"/>
    <s v="British Columbia"/>
    <x v="2"/>
    <x v="1"/>
    <x v="3"/>
    <s v="Product B"/>
    <n v="203.36"/>
    <n v="7"/>
    <n v="14.31"/>
  </r>
  <r>
    <n v="883"/>
    <d v="2020-09-01T00:00:00"/>
    <x v="3"/>
    <x v="6"/>
    <d v="2020-09-05T00:00:00"/>
    <n v="4"/>
    <x v="3"/>
    <s v="Customer 71"/>
    <x v="2"/>
    <s v="India"/>
    <s v="Delhi"/>
    <s v="Delhi"/>
    <x v="4"/>
    <x v="1"/>
    <x v="3"/>
    <s v="Product A"/>
    <n v="46.78"/>
    <n v="1"/>
    <n v="-1.07"/>
  </r>
  <r>
    <n v="884"/>
    <d v="2020-01-07T00:00:00"/>
    <x v="3"/>
    <x v="4"/>
    <d v="2020-01-13T00:00:00"/>
    <n v="6"/>
    <x v="0"/>
    <s v="Customer 151"/>
    <x v="2"/>
    <s v="India"/>
    <s v="Bangalore"/>
    <s v="Karnataka"/>
    <x v="1"/>
    <x v="1"/>
    <x v="3"/>
    <s v="Product B"/>
    <n v="254.97"/>
    <n v="8"/>
    <n v="116.43"/>
  </r>
  <r>
    <n v="885"/>
    <d v="2020-03-15T00:00:00"/>
    <x v="3"/>
    <x v="5"/>
    <d v="2020-03-19T00:00:00"/>
    <n v="4"/>
    <x v="1"/>
    <s v="Customer 56"/>
    <x v="1"/>
    <s v="Canada"/>
    <s v="Toronto"/>
    <s v="Ontario"/>
    <x v="0"/>
    <x v="0"/>
    <x v="0"/>
    <s v="Product C"/>
    <n v="394.37"/>
    <n v="4"/>
    <n v="95.07"/>
  </r>
  <r>
    <n v="886"/>
    <d v="2020-06-17T00:00:00"/>
    <x v="3"/>
    <x v="2"/>
    <d v="2020-06-23T00:00:00"/>
    <n v="6"/>
    <x v="3"/>
    <s v="Customer 126"/>
    <x v="1"/>
    <s v="USA"/>
    <s v="New York"/>
    <s v="New York"/>
    <x v="0"/>
    <x v="1"/>
    <x v="3"/>
    <s v="Product C"/>
    <n v="72.73"/>
    <n v="2"/>
    <n v="-10.55"/>
  </r>
  <r>
    <n v="887"/>
    <d v="2024-03-02T00:00:00"/>
    <x v="1"/>
    <x v="5"/>
    <d v="2024-03-09T00:00:00"/>
    <n v="7"/>
    <x v="3"/>
    <s v="Customer 84"/>
    <x v="1"/>
    <s v="Canada"/>
    <s v="Toronto"/>
    <s v="Ontario"/>
    <x v="0"/>
    <x v="0"/>
    <x v="0"/>
    <s v="Product C"/>
    <n v="329.79"/>
    <n v="7"/>
    <n v="-90.2"/>
  </r>
  <r>
    <n v="888"/>
    <d v="2024-01-25T00:00:00"/>
    <x v="1"/>
    <x v="4"/>
    <d v="2024-01-28T00:00:00"/>
    <n v="3"/>
    <x v="0"/>
    <s v="Customer 285"/>
    <x v="0"/>
    <s v="USA"/>
    <s v="Los Angeles"/>
    <s v="California"/>
    <x v="2"/>
    <x v="2"/>
    <x v="4"/>
    <s v="Product C"/>
    <n v="53"/>
    <n v="2"/>
    <n v="-8.0299999999999994"/>
  </r>
  <r>
    <n v="889"/>
    <d v="2025-08-26T00:00:00"/>
    <x v="0"/>
    <x v="8"/>
    <d v="2025-09-03T00:00:00"/>
    <n v="8"/>
    <x v="3"/>
    <s v="Customer 280"/>
    <x v="2"/>
    <s v="India"/>
    <s v="Delhi"/>
    <s v="Delhi"/>
    <x v="4"/>
    <x v="2"/>
    <x v="4"/>
    <s v="Product A"/>
    <n v="42.42"/>
    <n v="8"/>
    <n v="14.64"/>
  </r>
  <r>
    <n v="890"/>
    <d v="2021-12-17T00:00:00"/>
    <x v="4"/>
    <x v="10"/>
    <d v="2021-12-20T00:00:00"/>
    <n v="3"/>
    <x v="0"/>
    <s v="Customer 113"/>
    <x v="0"/>
    <s v="India"/>
    <s v="Delhi"/>
    <s v="Delhi"/>
    <x v="4"/>
    <x v="0"/>
    <x v="1"/>
    <s v="Product D"/>
    <n v="51.15"/>
    <n v="9"/>
    <n v="19.78"/>
  </r>
  <r>
    <n v="891"/>
    <d v="2024-03-17T00:00:00"/>
    <x v="1"/>
    <x v="5"/>
    <d v="2024-03-18T00:00:00"/>
    <n v="1"/>
    <x v="0"/>
    <s v="Customer 135"/>
    <x v="1"/>
    <s v="India"/>
    <s v="Delhi"/>
    <s v="Delhi"/>
    <x v="4"/>
    <x v="1"/>
    <x v="3"/>
    <s v="Product C"/>
    <n v="21.6"/>
    <n v="4"/>
    <n v="-2.68"/>
  </r>
  <r>
    <n v="892"/>
    <d v="2024-03-02T00:00:00"/>
    <x v="1"/>
    <x v="5"/>
    <d v="2024-03-04T00:00:00"/>
    <n v="2"/>
    <x v="0"/>
    <s v="Customer 19"/>
    <x v="2"/>
    <s v="India"/>
    <s v="Mumbai"/>
    <s v="Maharashtra"/>
    <x v="2"/>
    <x v="1"/>
    <x v="3"/>
    <s v="Product A"/>
    <n v="275.76"/>
    <n v="4"/>
    <n v="52.86"/>
  </r>
  <r>
    <n v="893"/>
    <d v="2020-07-24T00:00:00"/>
    <x v="3"/>
    <x v="1"/>
    <d v="2020-07-25T00:00:00"/>
    <n v="1"/>
    <x v="1"/>
    <s v="Customer 174"/>
    <x v="0"/>
    <s v="India"/>
    <s v="Delhi"/>
    <s v="Delhi"/>
    <x v="4"/>
    <x v="2"/>
    <x v="4"/>
    <s v="Product D"/>
    <n v="328.67"/>
    <n v="6"/>
    <n v="58.53"/>
  </r>
  <r>
    <n v="894"/>
    <d v="2021-12-15T00:00:00"/>
    <x v="4"/>
    <x v="10"/>
    <d v="2021-12-24T00:00:00"/>
    <n v="9"/>
    <x v="1"/>
    <s v="Customer 263"/>
    <x v="1"/>
    <s v="India"/>
    <s v="Delhi"/>
    <s v="Delhi"/>
    <x v="4"/>
    <x v="1"/>
    <x v="3"/>
    <s v="Product C"/>
    <n v="273.19"/>
    <n v="1"/>
    <n v="30.59"/>
  </r>
  <r>
    <n v="895"/>
    <d v="2022-03-29T00:00:00"/>
    <x v="2"/>
    <x v="5"/>
    <d v="2022-04-07T00:00:00"/>
    <n v="9"/>
    <x v="0"/>
    <s v="Customer 208"/>
    <x v="0"/>
    <s v="Canada"/>
    <s v="Montreal"/>
    <s v="Quebec"/>
    <x v="0"/>
    <x v="0"/>
    <x v="0"/>
    <s v="Product A"/>
    <n v="166.71"/>
    <n v="2"/>
    <n v="17.170000000000002"/>
  </r>
  <r>
    <n v="896"/>
    <d v="2020-03-07T00:00:00"/>
    <x v="3"/>
    <x v="5"/>
    <d v="2020-03-17T00:00:00"/>
    <n v="10"/>
    <x v="2"/>
    <s v="Customer 159"/>
    <x v="1"/>
    <s v="USA"/>
    <s v="Chicago"/>
    <s v="Illinois"/>
    <x v="3"/>
    <x v="0"/>
    <x v="1"/>
    <s v="Product A"/>
    <n v="68.2"/>
    <n v="1"/>
    <n v="7.65"/>
  </r>
  <r>
    <n v="897"/>
    <d v="2022-06-20T00:00:00"/>
    <x v="2"/>
    <x v="2"/>
    <d v="2022-06-24T00:00:00"/>
    <n v="4"/>
    <x v="3"/>
    <s v="Customer 271"/>
    <x v="2"/>
    <s v="USA"/>
    <s v="New York"/>
    <s v="New York"/>
    <x v="0"/>
    <x v="2"/>
    <x v="4"/>
    <s v="Product A"/>
    <n v="280.37"/>
    <n v="7"/>
    <n v="22.24"/>
  </r>
  <r>
    <n v="898"/>
    <d v="2023-01-23T00:00:00"/>
    <x v="5"/>
    <x v="4"/>
    <d v="2023-01-31T00:00:00"/>
    <n v="8"/>
    <x v="3"/>
    <s v="Customer 181"/>
    <x v="1"/>
    <s v="India"/>
    <s v="Delhi"/>
    <s v="Delhi"/>
    <x v="4"/>
    <x v="2"/>
    <x v="4"/>
    <s v="Product D"/>
    <n v="245.68"/>
    <n v="9"/>
    <n v="-5.96"/>
  </r>
  <r>
    <n v="899"/>
    <d v="2025-04-21T00:00:00"/>
    <x v="0"/>
    <x v="7"/>
    <d v="2025-04-29T00:00:00"/>
    <n v="8"/>
    <x v="0"/>
    <s v="Customer 281"/>
    <x v="1"/>
    <s v="Canada"/>
    <s v="Toronto"/>
    <s v="Ontario"/>
    <x v="0"/>
    <x v="0"/>
    <x v="0"/>
    <s v="Product C"/>
    <n v="381.25"/>
    <n v="3"/>
    <n v="152.29"/>
  </r>
  <r>
    <n v="900"/>
    <d v="2021-12-06T00:00:00"/>
    <x v="4"/>
    <x v="10"/>
    <d v="2021-12-13T00:00:00"/>
    <n v="7"/>
    <x v="3"/>
    <s v="Customer 230"/>
    <x v="1"/>
    <s v="Canada"/>
    <s v="Toronto"/>
    <s v="Ontario"/>
    <x v="0"/>
    <x v="2"/>
    <x v="5"/>
    <s v="Product D"/>
    <n v="470.64"/>
    <n v="10"/>
    <n v="118.17"/>
  </r>
  <r>
    <n v="901"/>
    <d v="2021-02-24T00:00:00"/>
    <x v="4"/>
    <x v="9"/>
    <d v="2021-03-06T00:00:00"/>
    <n v="10"/>
    <x v="0"/>
    <s v="Customer 29"/>
    <x v="0"/>
    <s v="Canada"/>
    <s v="Vancouver"/>
    <s v="British Columbia"/>
    <x v="2"/>
    <x v="2"/>
    <x v="5"/>
    <s v="Product B"/>
    <n v="499.51"/>
    <n v="1"/>
    <n v="-39.67"/>
  </r>
  <r>
    <n v="902"/>
    <d v="2020-11-23T00:00:00"/>
    <x v="3"/>
    <x v="11"/>
    <d v="2020-11-30T00:00:00"/>
    <n v="7"/>
    <x v="1"/>
    <s v="Customer 200"/>
    <x v="1"/>
    <s v="USA"/>
    <s v="Los Angeles"/>
    <s v="California"/>
    <x v="2"/>
    <x v="1"/>
    <x v="2"/>
    <s v="Product A"/>
    <n v="480.15"/>
    <n v="4"/>
    <n v="-83.4"/>
  </r>
  <r>
    <n v="903"/>
    <d v="2021-03-15T00:00:00"/>
    <x v="4"/>
    <x v="5"/>
    <d v="2021-03-25T00:00:00"/>
    <n v="10"/>
    <x v="2"/>
    <s v="Customer 175"/>
    <x v="1"/>
    <s v="India"/>
    <s v="Bangalore"/>
    <s v="Karnataka"/>
    <x v="1"/>
    <x v="0"/>
    <x v="0"/>
    <s v="Product D"/>
    <n v="345.18"/>
    <n v="7"/>
    <n v="39.950000000000003"/>
  </r>
  <r>
    <n v="904"/>
    <d v="2025-01-11T00:00:00"/>
    <x v="0"/>
    <x v="4"/>
    <d v="2025-01-18T00:00:00"/>
    <n v="7"/>
    <x v="3"/>
    <s v="Customer 78"/>
    <x v="0"/>
    <s v="USA"/>
    <s v="Los Angeles"/>
    <s v="California"/>
    <x v="2"/>
    <x v="2"/>
    <x v="4"/>
    <s v="Product D"/>
    <n v="462.92"/>
    <n v="5"/>
    <n v="50.97"/>
  </r>
  <r>
    <n v="905"/>
    <d v="2020-05-26T00:00:00"/>
    <x v="3"/>
    <x v="0"/>
    <d v="2020-05-31T00:00:00"/>
    <n v="5"/>
    <x v="0"/>
    <s v="Customer 58"/>
    <x v="0"/>
    <s v="India"/>
    <s v="Mumbai"/>
    <s v="Maharashtra"/>
    <x v="2"/>
    <x v="1"/>
    <x v="2"/>
    <s v="Product A"/>
    <n v="70.34"/>
    <n v="3"/>
    <n v="2.09"/>
  </r>
  <r>
    <n v="906"/>
    <d v="2025-04-15T00:00:00"/>
    <x v="0"/>
    <x v="7"/>
    <d v="2025-04-17T00:00:00"/>
    <n v="2"/>
    <x v="2"/>
    <s v="Customer 294"/>
    <x v="2"/>
    <s v="Canada"/>
    <s v="Montreal"/>
    <s v="Quebec"/>
    <x v="0"/>
    <x v="1"/>
    <x v="2"/>
    <s v="Product B"/>
    <n v="406.6"/>
    <n v="6"/>
    <n v="56.26"/>
  </r>
  <r>
    <n v="907"/>
    <d v="2024-01-18T00:00:00"/>
    <x v="1"/>
    <x v="4"/>
    <d v="2024-01-23T00:00:00"/>
    <n v="5"/>
    <x v="2"/>
    <s v="Customer 22"/>
    <x v="0"/>
    <s v="India"/>
    <s v="Mumbai"/>
    <s v="Maharashtra"/>
    <x v="2"/>
    <x v="2"/>
    <x v="5"/>
    <s v="Product B"/>
    <n v="298.56"/>
    <n v="6"/>
    <n v="-76.84"/>
  </r>
  <r>
    <n v="908"/>
    <d v="2025-01-21T00:00:00"/>
    <x v="0"/>
    <x v="4"/>
    <d v="2025-01-30T00:00:00"/>
    <n v="9"/>
    <x v="3"/>
    <s v="Customer 43"/>
    <x v="2"/>
    <s v="Canada"/>
    <s v="Vancouver"/>
    <s v="British Columbia"/>
    <x v="2"/>
    <x v="2"/>
    <x v="5"/>
    <s v="Product A"/>
    <n v="336.62"/>
    <n v="6"/>
    <n v="90.41"/>
  </r>
  <r>
    <n v="909"/>
    <d v="2025-01-17T00:00:00"/>
    <x v="0"/>
    <x v="4"/>
    <d v="2025-01-22T00:00:00"/>
    <n v="5"/>
    <x v="1"/>
    <s v="Customer 54"/>
    <x v="0"/>
    <s v="Canada"/>
    <s v="Toronto"/>
    <s v="Ontario"/>
    <x v="0"/>
    <x v="0"/>
    <x v="0"/>
    <s v="Product A"/>
    <n v="207.28"/>
    <n v="3"/>
    <n v="5.72"/>
  </r>
  <r>
    <n v="910"/>
    <d v="2024-08-22T00:00:00"/>
    <x v="1"/>
    <x v="8"/>
    <d v="2024-08-28T00:00:00"/>
    <n v="6"/>
    <x v="3"/>
    <s v="Customer 184"/>
    <x v="2"/>
    <s v="India"/>
    <s v="Bangalore"/>
    <s v="Karnataka"/>
    <x v="1"/>
    <x v="1"/>
    <x v="2"/>
    <s v="Product C"/>
    <n v="239.9"/>
    <n v="9"/>
    <n v="-7.17"/>
  </r>
  <r>
    <n v="911"/>
    <d v="2021-10-17T00:00:00"/>
    <x v="4"/>
    <x v="3"/>
    <d v="2021-10-26T00:00:00"/>
    <n v="9"/>
    <x v="0"/>
    <s v="Customer 56"/>
    <x v="2"/>
    <s v="India"/>
    <s v="Delhi"/>
    <s v="Delhi"/>
    <x v="4"/>
    <x v="2"/>
    <x v="5"/>
    <s v="Product B"/>
    <n v="193.53"/>
    <n v="9"/>
    <n v="-4.1900000000000004"/>
  </r>
  <r>
    <n v="912"/>
    <d v="2024-08-06T00:00:00"/>
    <x v="1"/>
    <x v="8"/>
    <d v="2024-08-09T00:00:00"/>
    <n v="3"/>
    <x v="0"/>
    <s v="Customer 51"/>
    <x v="1"/>
    <s v="Canada"/>
    <s v="Montreal"/>
    <s v="Quebec"/>
    <x v="0"/>
    <x v="0"/>
    <x v="1"/>
    <s v="Product D"/>
    <n v="462.59"/>
    <n v="1"/>
    <n v="-97.81"/>
  </r>
  <r>
    <n v="913"/>
    <d v="2021-01-22T00:00:00"/>
    <x v="4"/>
    <x v="4"/>
    <d v="2021-01-26T00:00:00"/>
    <n v="4"/>
    <x v="0"/>
    <s v="Customer 132"/>
    <x v="1"/>
    <s v="India"/>
    <s v="Bangalore"/>
    <s v="Karnataka"/>
    <x v="1"/>
    <x v="1"/>
    <x v="3"/>
    <s v="Product C"/>
    <n v="162.87"/>
    <n v="3"/>
    <n v="79.55"/>
  </r>
  <r>
    <n v="914"/>
    <d v="2025-02-11T00:00:00"/>
    <x v="0"/>
    <x v="9"/>
    <d v="2025-02-17T00:00:00"/>
    <n v="6"/>
    <x v="2"/>
    <s v="Customer 290"/>
    <x v="1"/>
    <s v="India"/>
    <s v="Delhi"/>
    <s v="Delhi"/>
    <x v="4"/>
    <x v="0"/>
    <x v="1"/>
    <s v="Product B"/>
    <n v="194.47"/>
    <n v="9"/>
    <n v="-13.88"/>
  </r>
  <r>
    <n v="915"/>
    <d v="2020-04-07T00:00:00"/>
    <x v="3"/>
    <x v="7"/>
    <d v="2020-04-10T00:00:00"/>
    <n v="3"/>
    <x v="2"/>
    <s v="Customer 269"/>
    <x v="1"/>
    <s v="India"/>
    <s v="Bangalore"/>
    <s v="Karnataka"/>
    <x v="1"/>
    <x v="2"/>
    <x v="5"/>
    <s v="Product D"/>
    <n v="419.7"/>
    <n v="7"/>
    <n v="199.89"/>
  </r>
  <r>
    <n v="916"/>
    <d v="2024-10-22T00:00:00"/>
    <x v="1"/>
    <x v="3"/>
    <d v="2024-10-24T00:00:00"/>
    <n v="2"/>
    <x v="1"/>
    <s v="Customer 73"/>
    <x v="0"/>
    <s v="India"/>
    <s v="Delhi"/>
    <s v="Delhi"/>
    <x v="4"/>
    <x v="1"/>
    <x v="3"/>
    <s v="Product B"/>
    <n v="307.73"/>
    <n v="6"/>
    <n v="144.1"/>
  </r>
  <r>
    <n v="917"/>
    <d v="2020-10-02T00:00:00"/>
    <x v="3"/>
    <x v="3"/>
    <d v="2020-10-06T00:00:00"/>
    <n v="4"/>
    <x v="1"/>
    <s v="Customer 11"/>
    <x v="1"/>
    <s v="USA"/>
    <s v="Los Angeles"/>
    <s v="California"/>
    <x v="2"/>
    <x v="0"/>
    <x v="1"/>
    <s v="Product A"/>
    <n v="151.27000000000001"/>
    <n v="4"/>
    <n v="36.409999999999997"/>
  </r>
  <r>
    <n v="918"/>
    <d v="2022-11-23T00:00:00"/>
    <x v="2"/>
    <x v="11"/>
    <d v="2022-12-03T00:00:00"/>
    <n v="10"/>
    <x v="1"/>
    <s v="Customer 167"/>
    <x v="2"/>
    <s v="USA"/>
    <s v="Los Angeles"/>
    <s v="California"/>
    <x v="2"/>
    <x v="1"/>
    <x v="2"/>
    <s v="Product A"/>
    <n v="191.02"/>
    <n v="7"/>
    <n v="64.16"/>
  </r>
  <r>
    <n v="919"/>
    <d v="2020-01-09T00:00:00"/>
    <x v="3"/>
    <x v="4"/>
    <d v="2020-01-15T00:00:00"/>
    <n v="6"/>
    <x v="1"/>
    <s v="Customer 185"/>
    <x v="2"/>
    <s v="India"/>
    <s v="Bangalore"/>
    <s v="Karnataka"/>
    <x v="1"/>
    <x v="2"/>
    <x v="4"/>
    <s v="Product C"/>
    <n v="404.98"/>
    <n v="3"/>
    <n v="-107.58"/>
  </r>
  <r>
    <n v="920"/>
    <d v="2025-04-29T00:00:00"/>
    <x v="0"/>
    <x v="7"/>
    <d v="2025-05-04T00:00:00"/>
    <n v="5"/>
    <x v="3"/>
    <s v="Customer 87"/>
    <x v="0"/>
    <s v="India"/>
    <s v="Mumbai"/>
    <s v="Maharashtra"/>
    <x v="2"/>
    <x v="1"/>
    <x v="2"/>
    <s v="Product D"/>
    <n v="400.56"/>
    <n v="1"/>
    <n v="-18.46"/>
  </r>
  <r>
    <n v="921"/>
    <d v="2023-04-05T00:00:00"/>
    <x v="5"/>
    <x v="7"/>
    <d v="2023-04-12T00:00:00"/>
    <n v="7"/>
    <x v="0"/>
    <s v="Customer 259"/>
    <x v="0"/>
    <s v="Canada"/>
    <s v="Vancouver"/>
    <s v="British Columbia"/>
    <x v="2"/>
    <x v="1"/>
    <x v="3"/>
    <s v="Product A"/>
    <n v="66.84"/>
    <n v="5"/>
    <n v="6.76"/>
  </r>
  <r>
    <n v="922"/>
    <d v="2025-01-18T00:00:00"/>
    <x v="0"/>
    <x v="4"/>
    <d v="2025-01-23T00:00:00"/>
    <n v="5"/>
    <x v="3"/>
    <s v="Customer 247"/>
    <x v="1"/>
    <s v="Canada"/>
    <s v="Montreal"/>
    <s v="Quebec"/>
    <x v="0"/>
    <x v="2"/>
    <x v="4"/>
    <s v="Product D"/>
    <n v="247.03"/>
    <n v="6"/>
    <n v="49.71"/>
  </r>
  <r>
    <n v="923"/>
    <d v="2021-09-10T00:00:00"/>
    <x v="4"/>
    <x v="6"/>
    <d v="2021-09-14T00:00:00"/>
    <n v="4"/>
    <x v="1"/>
    <s v="Customer 13"/>
    <x v="0"/>
    <s v="India"/>
    <s v="Delhi"/>
    <s v="Delhi"/>
    <x v="4"/>
    <x v="1"/>
    <x v="3"/>
    <s v="Product B"/>
    <n v="476.94"/>
    <n v="1"/>
    <n v="-0.75"/>
  </r>
  <r>
    <n v="924"/>
    <d v="2020-05-19T00:00:00"/>
    <x v="3"/>
    <x v="0"/>
    <d v="2020-05-20T00:00:00"/>
    <n v="1"/>
    <x v="0"/>
    <s v="Customer 178"/>
    <x v="2"/>
    <s v="USA"/>
    <s v="New York"/>
    <s v="New York"/>
    <x v="0"/>
    <x v="1"/>
    <x v="2"/>
    <s v="Product A"/>
    <n v="215.33"/>
    <n v="2"/>
    <n v="-37.82"/>
  </r>
  <r>
    <n v="925"/>
    <d v="2025-10-12T00:00:00"/>
    <x v="0"/>
    <x v="3"/>
    <d v="2025-10-17T00:00:00"/>
    <n v="5"/>
    <x v="1"/>
    <s v="Customer 20"/>
    <x v="1"/>
    <s v="India"/>
    <s v="Mumbai"/>
    <s v="Maharashtra"/>
    <x v="2"/>
    <x v="0"/>
    <x v="0"/>
    <s v="Product D"/>
    <n v="381.25"/>
    <n v="3"/>
    <n v="70.75"/>
  </r>
  <r>
    <n v="926"/>
    <d v="2021-04-15T00:00:00"/>
    <x v="4"/>
    <x v="7"/>
    <d v="2021-04-21T00:00:00"/>
    <n v="6"/>
    <x v="0"/>
    <s v="Customer 226"/>
    <x v="2"/>
    <s v="USA"/>
    <s v="Chicago"/>
    <s v="Illinois"/>
    <x v="3"/>
    <x v="1"/>
    <x v="2"/>
    <s v="Product B"/>
    <n v="222.36"/>
    <n v="10"/>
    <n v="71.31"/>
  </r>
  <r>
    <n v="927"/>
    <d v="2023-07-05T00:00:00"/>
    <x v="5"/>
    <x v="1"/>
    <d v="2023-07-08T00:00:00"/>
    <n v="3"/>
    <x v="1"/>
    <s v="Customer 156"/>
    <x v="2"/>
    <s v="Canada"/>
    <s v="Montreal"/>
    <s v="Quebec"/>
    <x v="0"/>
    <x v="1"/>
    <x v="3"/>
    <s v="Product A"/>
    <n v="103.49"/>
    <n v="5"/>
    <n v="-4.8899999999999997"/>
  </r>
  <r>
    <n v="928"/>
    <d v="2024-03-31T00:00:00"/>
    <x v="1"/>
    <x v="5"/>
    <d v="2024-04-03T00:00:00"/>
    <n v="3"/>
    <x v="1"/>
    <s v="Customer 189"/>
    <x v="0"/>
    <s v="India"/>
    <s v="Mumbai"/>
    <s v="Maharashtra"/>
    <x v="2"/>
    <x v="2"/>
    <x v="5"/>
    <s v="Product D"/>
    <n v="327.87"/>
    <n v="7"/>
    <n v="106.96"/>
  </r>
  <r>
    <n v="929"/>
    <d v="2021-09-02T00:00:00"/>
    <x v="4"/>
    <x v="6"/>
    <d v="2021-09-08T00:00:00"/>
    <n v="6"/>
    <x v="0"/>
    <s v="Customer 105"/>
    <x v="2"/>
    <s v="Canada"/>
    <s v="Montreal"/>
    <s v="Quebec"/>
    <x v="0"/>
    <x v="2"/>
    <x v="4"/>
    <s v="Product C"/>
    <n v="103.79"/>
    <n v="7"/>
    <n v="32.24"/>
  </r>
  <r>
    <n v="930"/>
    <d v="2021-03-13T00:00:00"/>
    <x v="4"/>
    <x v="5"/>
    <d v="2021-03-16T00:00:00"/>
    <n v="3"/>
    <x v="2"/>
    <s v="Customer 243"/>
    <x v="0"/>
    <s v="India"/>
    <s v="Bangalore"/>
    <s v="Karnataka"/>
    <x v="1"/>
    <x v="1"/>
    <x v="3"/>
    <s v="Product C"/>
    <n v="491.9"/>
    <n v="10"/>
    <n v="-39.25"/>
  </r>
  <r>
    <n v="931"/>
    <d v="2022-10-17T00:00:00"/>
    <x v="2"/>
    <x v="3"/>
    <d v="2022-10-26T00:00:00"/>
    <n v="9"/>
    <x v="1"/>
    <s v="Customer 54"/>
    <x v="0"/>
    <s v="India"/>
    <s v="Mumbai"/>
    <s v="Maharashtra"/>
    <x v="2"/>
    <x v="0"/>
    <x v="1"/>
    <s v="Product D"/>
    <n v="349.64"/>
    <n v="6"/>
    <n v="171.31"/>
  </r>
  <r>
    <n v="932"/>
    <d v="2024-06-02T00:00:00"/>
    <x v="1"/>
    <x v="2"/>
    <d v="2024-06-04T00:00:00"/>
    <n v="2"/>
    <x v="0"/>
    <s v="Customer 145"/>
    <x v="0"/>
    <s v="USA"/>
    <s v="New York"/>
    <s v="New York"/>
    <x v="0"/>
    <x v="2"/>
    <x v="4"/>
    <s v="Product A"/>
    <n v="149.37"/>
    <n v="7"/>
    <n v="55.69"/>
  </r>
  <r>
    <n v="933"/>
    <d v="2021-05-07T00:00:00"/>
    <x v="4"/>
    <x v="0"/>
    <d v="2021-05-10T00:00:00"/>
    <n v="3"/>
    <x v="1"/>
    <s v="Customer 287"/>
    <x v="2"/>
    <s v="Canada"/>
    <s v="Toronto"/>
    <s v="Ontario"/>
    <x v="0"/>
    <x v="2"/>
    <x v="4"/>
    <s v="Product A"/>
    <n v="190.6"/>
    <n v="9"/>
    <n v="5.73"/>
  </r>
  <r>
    <n v="934"/>
    <d v="2023-03-31T00:00:00"/>
    <x v="5"/>
    <x v="5"/>
    <d v="2023-04-05T00:00:00"/>
    <n v="5"/>
    <x v="3"/>
    <s v="Customer 13"/>
    <x v="1"/>
    <s v="India"/>
    <s v="Bangalore"/>
    <s v="Karnataka"/>
    <x v="1"/>
    <x v="2"/>
    <x v="5"/>
    <s v="Product C"/>
    <n v="207.43"/>
    <n v="4"/>
    <n v="-53.29"/>
  </r>
  <r>
    <n v="935"/>
    <d v="2022-03-16T00:00:00"/>
    <x v="2"/>
    <x v="5"/>
    <d v="2022-03-19T00:00:00"/>
    <n v="3"/>
    <x v="0"/>
    <s v="Customer 214"/>
    <x v="1"/>
    <s v="Canada"/>
    <s v="Vancouver"/>
    <s v="British Columbia"/>
    <x v="2"/>
    <x v="1"/>
    <x v="2"/>
    <s v="Product D"/>
    <n v="157.96"/>
    <n v="10"/>
    <n v="30.44"/>
  </r>
  <r>
    <n v="936"/>
    <d v="2025-02-25T00:00:00"/>
    <x v="0"/>
    <x v="9"/>
    <d v="2025-02-28T00:00:00"/>
    <n v="3"/>
    <x v="0"/>
    <s v="Customer 38"/>
    <x v="2"/>
    <s v="USA"/>
    <s v="Los Angeles"/>
    <s v="California"/>
    <x v="2"/>
    <x v="0"/>
    <x v="1"/>
    <s v="Product C"/>
    <n v="31.66"/>
    <n v="4"/>
    <n v="0.84"/>
  </r>
  <r>
    <n v="937"/>
    <d v="2023-05-14T00:00:00"/>
    <x v="5"/>
    <x v="0"/>
    <d v="2023-05-17T00:00:00"/>
    <n v="3"/>
    <x v="3"/>
    <s v="Customer 136"/>
    <x v="1"/>
    <s v="India"/>
    <s v="Mumbai"/>
    <s v="Maharashtra"/>
    <x v="2"/>
    <x v="0"/>
    <x v="0"/>
    <s v="Product C"/>
    <n v="350.62"/>
    <n v="2"/>
    <n v="-34.72"/>
  </r>
  <r>
    <n v="938"/>
    <d v="2022-04-17T00:00:00"/>
    <x v="2"/>
    <x v="7"/>
    <d v="2022-04-22T00:00:00"/>
    <n v="5"/>
    <x v="2"/>
    <s v="Customer 72"/>
    <x v="1"/>
    <s v="Canada"/>
    <s v="Vancouver"/>
    <s v="British Columbia"/>
    <x v="2"/>
    <x v="2"/>
    <x v="5"/>
    <s v="Product D"/>
    <n v="232.9"/>
    <n v="3"/>
    <n v="-65.900000000000006"/>
  </r>
  <r>
    <n v="939"/>
    <d v="2021-01-10T00:00:00"/>
    <x v="4"/>
    <x v="4"/>
    <d v="2021-01-13T00:00:00"/>
    <n v="3"/>
    <x v="3"/>
    <s v="Customer 255"/>
    <x v="1"/>
    <s v="India"/>
    <s v="Bangalore"/>
    <s v="Karnataka"/>
    <x v="1"/>
    <x v="0"/>
    <x v="1"/>
    <s v="Product D"/>
    <n v="405.56"/>
    <n v="7"/>
    <n v="-27.89"/>
  </r>
  <r>
    <n v="940"/>
    <d v="2022-10-22T00:00:00"/>
    <x v="2"/>
    <x v="3"/>
    <d v="2022-10-24T00:00:00"/>
    <n v="2"/>
    <x v="2"/>
    <s v="Customer 192"/>
    <x v="2"/>
    <s v="USA"/>
    <s v="New York"/>
    <s v="New York"/>
    <x v="0"/>
    <x v="1"/>
    <x v="2"/>
    <s v="Product B"/>
    <n v="275.67"/>
    <n v="6"/>
    <n v="125.64"/>
  </r>
  <r>
    <n v="941"/>
    <d v="2022-02-28T00:00:00"/>
    <x v="2"/>
    <x v="9"/>
    <d v="2022-03-10T00:00:00"/>
    <n v="10"/>
    <x v="3"/>
    <s v="Customer 143"/>
    <x v="2"/>
    <s v="USA"/>
    <s v="New York"/>
    <s v="New York"/>
    <x v="0"/>
    <x v="0"/>
    <x v="0"/>
    <s v="Product C"/>
    <n v="360.94"/>
    <n v="6"/>
    <n v="53.32"/>
  </r>
  <r>
    <n v="942"/>
    <d v="2025-07-01T00:00:00"/>
    <x v="0"/>
    <x v="1"/>
    <d v="2025-07-05T00:00:00"/>
    <n v="4"/>
    <x v="0"/>
    <s v="Customer 210"/>
    <x v="0"/>
    <s v="India"/>
    <s v="Bangalore"/>
    <s v="Karnataka"/>
    <x v="1"/>
    <x v="2"/>
    <x v="4"/>
    <s v="Product D"/>
    <n v="128.56"/>
    <n v="10"/>
    <n v="55.98"/>
  </r>
  <r>
    <n v="943"/>
    <d v="2022-03-14T00:00:00"/>
    <x v="2"/>
    <x v="5"/>
    <d v="2022-03-18T00:00:00"/>
    <n v="4"/>
    <x v="3"/>
    <s v="Customer 215"/>
    <x v="1"/>
    <s v="USA"/>
    <s v="New York"/>
    <s v="New York"/>
    <x v="0"/>
    <x v="0"/>
    <x v="0"/>
    <s v="Product B"/>
    <n v="273.16000000000003"/>
    <n v="5"/>
    <n v="6.27"/>
  </r>
  <r>
    <n v="944"/>
    <d v="2022-08-29T00:00:00"/>
    <x v="2"/>
    <x v="8"/>
    <d v="2022-09-06T00:00:00"/>
    <n v="8"/>
    <x v="2"/>
    <s v="Customer 84"/>
    <x v="0"/>
    <s v="Canada"/>
    <s v="Vancouver"/>
    <s v="British Columbia"/>
    <x v="2"/>
    <x v="0"/>
    <x v="1"/>
    <s v="Product C"/>
    <n v="382.96"/>
    <n v="10"/>
    <n v="69.989999999999995"/>
  </r>
  <r>
    <n v="945"/>
    <d v="2020-12-30T00:00:00"/>
    <x v="3"/>
    <x v="10"/>
    <d v="2021-01-06T00:00:00"/>
    <n v="7"/>
    <x v="3"/>
    <s v="Customer 75"/>
    <x v="1"/>
    <s v="Canada"/>
    <s v="Toronto"/>
    <s v="Ontario"/>
    <x v="0"/>
    <x v="0"/>
    <x v="0"/>
    <s v="Product A"/>
    <n v="237.35"/>
    <n v="2"/>
    <n v="60.2"/>
  </r>
  <r>
    <n v="946"/>
    <d v="2021-02-25T00:00:00"/>
    <x v="4"/>
    <x v="9"/>
    <d v="2021-03-04T00:00:00"/>
    <n v="7"/>
    <x v="0"/>
    <s v="Customer 292"/>
    <x v="2"/>
    <s v="USA"/>
    <s v="New York"/>
    <s v="New York"/>
    <x v="0"/>
    <x v="2"/>
    <x v="4"/>
    <s v="Product A"/>
    <n v="353.36"/>
    <n v="3"/>
    <n v="126.59"/>
  </r>
  <r>
    <n v="947"/>
    <d v="2024-10-15T00:00:00"/>
    <x v="1"/>
    <x v="3"/>
    <d v="2024-10-25T00:00:00"/>
    <n v="10"/>
    <x v="2"/>
    <s v="Customer 250"/>
    <x v="1"/>
    <s v="USA"/>
    <s v="Los Angeles"/>
    <s v="California"/>
    <x v="2"/>
    <x v="0"/>
    <x v="0"/>
    <s v="Product C"/>
    <n v="379.24"/>
    <n v="1"/>
    <n v="-85.62"/>
  </r>
  <r>
    <n v="948"/>
    <d v="2024-01-11T00:00:00"/>
    <x v="1"/>
    <x v="4"/>
    <d v="2024-01-18T00:00:00"/>
    <n v="7"/>
    <x v="1"/>
    <s v="Customer 154"/>
    <x v="1"/>
    <s v="Canada"/>
    <s v="Toronto"/>
    <s v="Ontario"/>
    <x v="0"/>
    <x v="0"/>
    <x v="0"/>
    <s v="Product B"/>
    <n v="399.53"/>
    <n v="1"/>
    <n v="-114.13"/>
  </r>
  <r>
    <n v="949"/>
    <d v="2022-03-16T00:00:00"/>
    <x v="2"/>
    <x v="5"/>
    <d v="2022-03-23T00:00:00"/>
    <n v="7"/>
    <x v="3"/>
    <s v="Customer 104"/>
    <x v="0"/>
    <s v="USA"/>
    <s v="Los Angeles"/>
    <s v="California"/>
    <x v="2"/>
    <x v="2"/>
    <x v="4"/>
    <s v="Product D"/>
    <n v="331.05"/>
    <n v="1"/>
    <n v="71"/>
  </r>
  <r>
    <n v="950"/>
    <d v="2023-12-02T00:00:00"/>
    <x v="5"/>
    <x v="10"/>
    <d v="2023-12-07T00:00:00"/>
    <n v="5"/>
    <x v="0"/>
    <s v="Customer 75"/>
    <x v="2"/>
    <s v="Canada"/>
    <s v="Montreal"/>
    <s v="Quebec"/>
    <x v="0"/>
    <x v="2"/>
    <x v="5"/>
    <s v="Product A"/>
    <n v="62.05"/>
    <n v="6"/>
    <n v="-16.7"/>
  </r>
  <r>
    <n v="951"/>
    <d v="2021-09-02T00:00:00"/>
    <x v="4"/>
    <x v="6"/>
    <d v="2021-09-05T00:00:00"/>
    <n v="3"/>
    <x v="2"/>
    <s v="Customer 249"/>
    <x v="0"/>
    <s v="India"/>
    <s v="Mumbai"/>
    <s v="Maharashtra"/>
    <x v="2"/>
    <x v="1"/>
    <x v="2"/>
    <s v="Product A"/>
    <n v="97.12"/>
    <n v="5"/>
    <n v="32.58"/>
  </r>
  <r>
    <n v="952"/>
    <d v="2024-07-24T00:00:00"/>
    <x v="1"/>
    <x v="1"/>
    <d v="2024-07-30T00:00:00"/>
    <n v="6"/>
    <x v="2"/>
    <s v="Customer 177"/>
    <x v="1"/>
    <s v="India"/>
    <s v="Mumbai"/>
    <s v="Maharashtra"/>
    <x v="2"/>
    <x v="2"/>
    <x v="4"/>
    <s v="Product B"/>
    <n v="372.06"/>
    <n v="7"/>
    <n v="-52.08"/>
  </r>
  <r>
    <n v="953"/>
    <d v="2021-12-29T00:00:00"/>
    <x v="4"/>
    <x v="10"/>
    <d v="2022-01-01T00:00:00"/>
    <n v="3"/>
    <x v="2"/>
    <s v="Customer 174"/>
    <x v="1"/>
    <s v="India"/>
    <s v="Delhi"/>
    <s v="Delhi"/>
    <x v="4"/>
    <x v="1"/>
    <x v="2"/>
    <s v="Product A"/>
    <n v="83.78"/>
    <n v="6"/>
    <n v="-5.01"/>
  </r>
  <r>
    <n v="954"/>
    <d v="2025-09-28T00:00:00"/>
    <x v="0"/>
    <x v="6"/>
    <d v="2025-10-03T00:00:00"/>
    <n v="5"/>
    <x v="1"/>
    <s v="Customer 235"/>
    <x v="0"/>
    <s v="USA"/>
    <s v="New York"/>
    <s v="New York"/>
    <x v="0"/>
    <x v="0"/>
    <x v="1"/>
    <s v="Product A"/>
    <n v="490.27"/>
    <n v="2"/>
    <n v="11.56"/>
  </r>
  <r>
    <n v="955"/>
    <d v="2022-02-26T00:00:00"/>
    <x v="2"/>
    <x v="9"/>
    <d v="2022-02-28T00:00:00"/>
    <n v="2"/>
    <x v="2"/>
    <s v="Customer 49"/>
    <x v="1"/>
    <s v="India"/>
    <s v="Bangalore"/>
    <s v="Karnataka"/>
    <x v="1"/>
    <x v="2"/>
    <x v="5"/>
    <s v="Product B"/>
    <n v="464.49"/>
    <n v="7"/>
    <n v="-62.61"/>
  </r>
  <r>
    <n v="956"/>
    <d v="2023-07-06T00:00:00"/>
    <x v="5"/>
    <x v="1"/>
    <d v="2023-07-08T00:00:00"/>
    <n v="2"/>
    <x v="2"/>
    <s v="Customer 73"/>
    <x v="0"/>
    <s v="Canada"/>
    <s v="Vancouver"/>
    <s v="British Columbia"/>
    <x v="2"/>
    <x v="0"/>
    <x v="0"/>
    <s v="Product D"/>
    <n v="394.67"/>
    <n v="8"/>
    <n v="-111.21"/>
  </r>
  <r>
    <n v="957"/>
    <d v="2024-06-13T00:00:00"/>
    <x v="1"/>
    <x v="2"/>
    <d v="2024-06-15T00:00:00"/>
    <n v="2"/>
    <x v="2"/>
    <s v="Customer 43"/>
    <x v="2"/>
    <s v="Canada"/>
    <s v="Toronto"/>
    <s v="Ontario"/>
    <x v="0"/>
    <x v="0"/>
    <x v="1"/>
    <s v="Product D"/>
    <n v="451.92"/>
    <n v="6"/>
    <n v="5.45"/>
  </r>
  <r>
    <n v="958"/>
    <d v="2024-11-15T00:00:00"/>
    <x v="1"/>
    <x v="11"/>
    <d v="2024-11-21T00:00:00"/>
    <n v="6"/>
    <x v="1"/>
    <s v="Customer 41"/>
    <x v="0"/>
    <s v="Canada"/>
    <s v="Vancouver"/>
    <s v="British Columbia"/>
    <x v="2"/>
    <x v="2"/>
    <x v="5"/>
    <s v="Product B"/>
    <n v="65.930000000000007"/>
    <n v="7"/>
    <n v="5.57"/>
  </r>
  <r>
    <n v="959"/>
    <d v="2021-05-05T00:00:00"/>
    <x v="4"/>
    <x v="0"/>
    <d v="2021-05-13T00:00:00"/>
    <n v="8"/>
    <x v="3"/>
    <s v="Customer 167"/>
    <x v="1"/>
    <s v="USA"/>
    <s v="Los Angeles"/>
    <s v="California"/>
    <x v="2"/>
    <x v="0"/>
    <x v="0"/>
    <s v="Product C"/>
    <n v="187"/>
    <n v="8"/>
    <n v="20.329999999999998"/>
  </r>
  <r>
    <n v="960"/>
    <d v="2020-04-29T00:00:00"/>
    <x v="3"/>
    <x v="7"/>
    <d v="2020-05-07T00:00:00"/>
    <n v="8"/>
    <x v="1"/>
    <s v="Customer 201"/>
    <x v="0"/>
    <s v="Canada"/>
    <s v="Toronto"/>
    <s v="Ontario"/>
    <x v="0"/>
    <x v="0"/>
    <x v="1"/>
    <s v="Product B"/>
    <n v="431.32"/>
    <n v="1"/>
    <n v="-29.79"/>
  </r>
  <r>
    <n v="961"/>
    <d v="2021-02-15T00:00:00"/>
    <x v="4"/>
    <x v="9"/>
    <d v="2021-02-16T00:00:00"/>
    <n v="1"/>
    <x v="1"/>
    <s v="Customer 13"/>
    <x v="2"/>
    <s v="USA"/>
    <s v="Chicago"/>
    <s v="Illinois"/>
    <x v="3"/>
    <x v="1"/>
    <x v="3"/>
    <s v="Product A"/>
    <n v="370.33"/>
    <n v="10"/>
    <n v="154.16999999999999"/>
  </r>
  <r>
    <n v="962"/>
    <d v="2024-10-10T00:00:00"/>
    <x v="1"/>
    <x v="3"/>
    <d v="2024-10-17T00:00:00"/>
    <n v="7"/>
    <x v="3"/>
    <s v="Customer 68"/>
    <x v="0"/>
    <s v="India"/>
    <s v="Delhi"/>
    <s v="Delhi"/>
    <x v="4"/>
    <x v="0"/>
    <x v="1"/>
    <s v="Product C"/>
    <n v="91.96"/>
    <n v="4"/>
    <n v="-23.47"/>
  </r>
  <r>
    <n v="963"/>
    <d v="2020-08-21T00:00:00"/>
    <x v="3"/>
    <x v="8"/>
    <d v="2020-08-30T00:00:00"/>
    <n v="9"/>
    <x v="2"/>
    <s v="Customer 38"/>
    <x v="1"/>
    <s v="India"/>
    <s v="Delhi"/>
    <s v="Delhi"/>
    <x v="4"/>
    <x v="2"/>
    <x v="4"/>
    <s v="Product C"/>
    <n v="167.42"/>
    <n v="8"/>
    <n v="51.3"/>
  </r>
  <r>
    <n v="964"/>
    <d v="2020-01-10T00:00:00"/>
    <x v="3"/>
    <x v="4"/>
    <d v="2020-01-20T00:00:00"/>
    <n v="10"/>
    <x v="1"/>
    <s v="Customer 181"/>
    <x v="1"/>
    <s v="India"/>
    <s v="Delhi"/>
    <s v="Delhi"/>
    <x v="4"/>
    <x v="2"/>
    <x v="5"/>
    <s v="Product C"/>
    <n v="491.53"/>
    <n v="6"/>
    <n v="38.64"/>
  </r>
  <r>
    <n v="965"/>
    <d v="2021-06-29T00:00:00"/>
    <x v="4"/>
    <x v="2"/>
    <d v="2021-06-30T00:00:00"/>
    <n v="1"/>
    <x v="0"/>
    <s v="Customer 148"/>
    <x v="2"/>
    <s v="India"/>
    <s v="Delhi"/>
    <s v="Delhi"/>
    <x v="4"/>
    <x v="2"/>
    <x v="5"/>
    <s v="Product B"/>
    <n v="140.19999999999999"/>
    <n v="8"/>
    <n v="-31.55"/>
  </r>
  <r>
    <n v="966"/>
    <d v="2025-08-19T00:00:00"/>
    <x v="0"/>
    <x v="8"/>
    <d v="2025-08-21T00:00:00"/>
    <n v="2"/>
    <x v="0"/>
    <s v="Customer 203"/>
    <x v="0"/>
    <s v="India"/>
    <s v="Bangalore"/>
    <s v="Karnataka"/>
    <x v="1"/>
    <x v="0"/>
    <x v="0"/>
    <s v="Product C"/>
    <n v="227.64"/>
    <n v="8"/>
    <n v="-67.13"/>
  </r>
  <r>
    <n v="967"/>
    <d v="2022-08-10T00:00:00"/>
    <x v="2"/>
    <x v="8"/>
    <d v="2022-08-12T00:00:00"/>
    <n v="2"/>
    <x v="2"/>
    <s v="Customer 77"/>
    <x v="2"/>
    <s v="Canada"/>
    <s v="Vancouver"/>
    <s v="British Columbia"/>
    <x v="2"/>
    <x v="1"/>
    <x v="2"/>
    <s v="Product C"/>
    <n v="400.43"/>
    <n v="8"/>
    <n v="57.94"/>
  </r>
  <r>
    <n v="968"/>
    <d v="2021-02-04T00:00:00"/>
    <x v="4"/>
    <x v="9"/>
    <d v="2021-02-06T00:00:00"/>
    <n v="2"/>
    <x v="1"/>
    <s v="Customer 5"/>
    <x v="0"/>
    <s v="USA"/>
    <s v="Los Angeles"/>
    <s v="California"/>
    <x v="2"/>
    <x v="2"/>
    <x v="5"/>
    <s v="Product D"/>
    <n v="203.6"/>
    <n v="1"/>
    <n v="39.18"/>
  </r>
  <r>
    <n v="969"/>
    <d v="2020-03-03T00:00:00"/>
    <x v="3"/>
    <x v="5"/>
    <d v="2020-03-04T00:00:00"/>
    <n v="1"/>
    <x v="2"/>
    <s v="Customer 90"/>
    <x v="1"/>
    <s v="USA"/>
    <s v="New York"/>
    <s v="New York"/>
    <x v="0"/>
    <x v="2"/>
    <x v="5"/>
    <s v="Product A"/>
    <n v="169.93"/>
    <n v="9"/>
    <n v="-32.81"/>
  </r>
  <r>
    <n v="970"/>
    <d v="2025-10-26T00:00:00"/>
    <x v="0"/>
    <x v="3"/>
    <d v="2025-11-04T00:00:00"/>
    <n v="9"/>
    <x v="0"/>
    <s v="Customer 227"/>
    <x v="1"/>
    <s v="USA"/>
    <s v="Chicago"/>
    <s v="Illinois"/>
    <x v="3"/>
    <x v="2"/>
    <x v="5"/>
    <s v="Product B"/>
    <n v="419.98"/>
    <n v="4"/>
    <n v="-89.02"/>
  </r>
  <r>
    <n v="971"/>
    <d v="2022-10-15T00:00:00"/>
    <x v="2"/>
    <x v="3"/>
    <d v="2022-10-17T00:00:00"/>
    <n v="2"/>
    <x v="3"/>
    <s v="Customer 296"/>
    <x v="2"/>
    <s v="India"/>
    <s v="Bangalore"/>
    <s v="Karnataka"/>
    <x v="1"/>
    <x v="1"/>
    <x v="2"/>
    <s v="Product C"/>
    <n v="393.68"/>
    <n v="3"/>
    <n v="-13.29"/>
  </r>
  <r>
    <n v="972"/>
    <d v="2022-02-24T00:00:00"/>
    <x v="2"/>
    <x v="9"/>
    <d v="2022-03-01T00:00:00"/>
    <n v="5"/>
    <x v="1"/>
    <s v="Customer 233"/>
    <x v="1"/>
    <s v="Canada"/>
    <s v="Montreal"/>
    <s v="Quebec"/>
    <x v="0"/>
    <x v="2"/>
    <x v="4"/>
    <s v="Product C"/>
    <n v="385.5"/>
    <n v="2"/>
    <n v="27.96"/>
  </r>
  <r>
    <n v="973"/>
    <d v="2025-12-19T00:00:00"/>
    <x v="0"/>
    <x v="10"/>
    <d v="2025-12-20T00:00:00"/>
    <n v="1"/>
    <x v="2"/>
    <s v="Customer 41"/>
    <x v="1"/>
    <s v="USA"/>
    <s v="Chicago"/>
    <s v="Illinois"/>
    <x v="3"/>
    <x v="0"/>
    <x v="1"/>
    <s v="Product A"/>
    <n v="170.68"/>
    <n v="5"/>
    <n v="-40.090000000000003"/>
  </r>
  <r>
    <n v="974"/>
    <d v="2021-06-11T00:00:00"/>
    <x v="4"/>
    <x v="2"/>
    <d v="2021-06-15T00:00:00"/>
    <n v="4"/>
    <x v="3"/>
    <s v="Customer 230"/>
    <x v="1"/>
    <s v="USA"/>
    <s v="New York"/>
    <s v="New York"/>
    <x v="0"/>
    <x v="1"/>
    <x v="2"/>
    <s v="Product B"/>
    <n v="109.81"/>
    <n v="1"/>
    <n v="31.48"/>
  </r>
  <r>
    <n v="975"/>
    <d v="2024-06-09T00:00:00"/>
    <x v="1"/>
    <x v="2"/>
    <d v="2024-06-12T00:00:00"/>
    <n v="3"/>
    <x v="0"/>
    <s v="Customer 190"/>
    <x v="1"/>
    <s v="USA"/>
    <s v="Los Angeles"/>
    <s v="California"/>
    <x v="2"/>
    <x v="0"/>
    <x v="1"/>
    <s v="Product B"/>
    <n v="178.61"/>
    <n v="8"/>
    <n v="23.75"/>
  </r>
  <r>
    <n v="976"/>
    <d v="2022-04-19T00:00:00"/>
    <x v="2"/>
    <x v="7"/>
    <d v="2022-04-24T00:00:00"/>
    <n v="5"/>
    <x v="2"/>
    <s v="Customer 281"/>
    <x v="1"/>
    <s v="Canada"/>
    <s v="Vancouver"/>
    <s v="British Columbia"/>
    <x v="2"/>
    <x v="0"/>
    <x v="0"/>
    <s v="Product D"/>
    <n v="221.43"/>
    <n v="8"/>
    <n v="-12.38"/>
  </r>
  <r>
    <n v="977"/>
    <d v="2022-06-17T00:00:00"/>
    <x v="2"/>
    <x v="2"/>
    <d v="2022-06-27T00:00:00"/>
    <n v="10"/>
    <x v="2"/>
    <s v="Customer 179"/>
    <x v="2"/>
    <s v="USA"/>
    <s v="Chicago"/>
    <s v="Illinois"/>
    <x v="3"/>
    <x v="1"/>
    <x v="2"/>
    <s v="Product A"/>
    <n v="364.06"/>
    <n v="1"/>
    <n v="-87.36"/>
  </r>
  <r>
    <n v="978"/>
    <d v="2021-08-10T00:00:00"/>
    <x v="4"/>
    <x v="8"/>
    <d v="2021-08-15T00:00:00"/>
    <n v="5"/>
    <x v="3"/>
    <s v="Customer 104"/>
    <x v="2"/>
    <s v="India"/>
    <s v="Delhi"/>
    <s v="Delhi"/>
    <x v="4"/>
    <x v="1"/>
    <x v="3"/>
    <s v="Product C"/>
    <n v="258.60000000000002"/>
    <n v="9"/>
    <n v="64.25"/>
  </r>
  <r>
    <n v="979"/>
    <d v="2021-03-21T00:00:00"/>
    <x v="4"/>
    <x v="5"/>
    <d v="2021-03-26T00:00:00"/>
    <n v="5"/>
    <x v="1"/>
    <s v="Customer 297"/>
    <x v="2"/>
    <s v="USA"/>
    <s v="New York"/>
    <s v="New York"/>
    <x v="0"/>
    <x v="2"/>
    <x v="5"/>
    <s v="Product D"/>
    <n v="110.78"/>
    <n v="6"/>
    <n v="-17.39"/>
  </r>
  <r>
    <n v="980"/>
    <d v="2024-10-29T00:00:00"/>
    <x v="1"/>
    <x v="3"/>
    <d v="2024-11-07T00:00:00"/>
    <n v="9"/>
    <x v="0"/>
    <s v="Customer 177"/>
    <x v="1"/>
    <s v="India"/>
    <s v="Mumbai"/>
    <s v="Maharashtra"/>
    <x v="2"/>
    <x v="2"/>
    <x v="4"/>
    <s v="Product B"/>
    <n v="277.38"/>
    <n v="8"/>
    <n v="21.35"/>
  </r>
  <r>
    <n v="981"/>
    <d v="2021-05-10T00:00:00"/>
    <x v="4"/>
    <x v="0"/>
    <d v="2021-05-18T00:00:00"/>
    <n v="8"/>
    <x v="2"/>
    <s v="Customer 93"/>
    <x v="2"/>
    <s v="Canada"/>
    <s v="Vancouver"/>
    <s v="British Columbia"/>
    <x v="2"/>
    <x v="1"/>
    <x v="2"/>
    <s v="Product C"/>
    <n v="403.32"/>
    <n v="3"/>
    <n v="-28.69"/>
  </r>
  <r>
    <n v="982"/>
    <d v="2023-03-12T00:00:00"/>
    <x v="5"/>
    <x v="5"/>
    <d v="2023-03-19T00:00:00"/>
    <n v="7"/>
    <x v="2"/>
    <s v="Customer 153"/>
    <x v="2"/>
    <s v="USA"/>
    <s v="Chicago"/>
    <s v="Illinois"/>
    <x v="3"/>
    <x v="2"/>
    <x v="4"/>
    <s v="Product D"/>
    <n v="162.22"/>
    <n v="7"/>
    <n v="-33.36"/>
  </r>
  <r>
    <n v="983"/>
    <d v="2021-03-22T00:00:00"/>
    <x v="4"/>
    <x v="5"/>
    <d v="2021-04-01T00:00:00"/>
    <n v="10"/>
    <x v="0"/>
    <s v="Customer 110"/>
    <x v="0"/>
    <s v="India"/>
    <s v="Bangalore"/>
    <s v="Karnataka"/>
    <x v="1"/>
    <x v="0"/>
    <x v="1"/>
    <s v="Product A"/>
    <n v="25.84"/>
    <n v="9"/>
    <n v="10.92"/>
  </r>
  <r>
    <n v="984"/>
    <d v="2023-12-06T00:00:00"/>
    <x v="5"/>
    <x v="10"/>
    <d v="2023-12-09T00:00:00"/>
    <n v="3"/>
    <x v="1"/>
    <s v="Customer 99"/>
    <x v="2"/>
    <s v="Canada"/>
    <s v="Montreal"/>
    <s v="Quebec"/>
    <x v="0"/>
    <x v="2"/>
    <x v="5"/>
    <s v="Product D"/>
    <n v="370.83"/>
    <n v="8"/>
    <n v="-3.72"/>
  </r>
  <r>
    <n v="985"/>
    <d v="2022-09-24T00:00:00"/>
    <x v="2"/>
    <x v="6"/>
    <d v="2022-10-03T00:00:00"/>
    <n v="9"/>
    <x v="1"/>
    <s v="Customer 91"/>
    <x v="1"/>
    <s v="Canada"/>
    <s v="Vancouver"/>
    <s v="British Columbia"/>
    <x v="2"/>
    <x v="0"/>
    <x v="0"/>
    <s v="Product D"/>
    <n v="458.97"/>
    <n v="1"/>
    <n v="129.80000000000001"/>
  </r>
  <r>
    <n v="986"/>
    <d v="2020-07-16T00:00:00"/>
    <x v="3"/>
    <x v="1"/>
    <d v="2020-07-18T00:00:00"/>
    <n v="2"/>
    <x v="3"/>
    <s v="Customer 80"/>
    <x v="0"/>
    <s v="India"/>
    <s v="Delhi"/>
    <s v="Delhi"/>
    <x v="4"/>
    <x v="1"/>
    <x v="3"/>
    <s v="Product C"/>
    <n v="243.03"/>
    <n v="8"/>
    <n v="-31.75"/>
  </r>
  <r>
    <n v="987"/>
    <d v="2022-01-27T00:00:00"/>
    <x v="2"/>
    <x v="4"/>
    <d v="2022-01-28T00:00:00"/>
    <n v="1"/>
    <x v="1"/>
    <s v="Customer 90"/>
    <x v="0"/>
    <s v="USA"/>
    <s v="Chicago"/>
    <s v="Illinois"/>
    <x v="3"/>
    <x v="2"/>
    <x v="4"/>
    <s v="Product C"/>
    <n v="351.71"/>
    <n v="8"/>
    <n v="92.13"/>
  </r>
  <r>
    <n v="988"/>
    <d v="2025-01-03T00:00:00"/>
    <x v="0"/>
    <x v="4"/>
    <d v="2025-01-11T00:00:00"/>
    <n v="8"/>
    <x v="1"/>
    <s v="Customer 226"/>
    <x v="2"/>
    <s v="USA"/>
    <s v="New York"/>
    <s v="New York"/>
    <x v="0"/>
    <x v="2"/>
    <x v="5"/>
    <s v="Product A"/>
    <n v="415"/>
    <n v="3"/>
    <n v="126.19"/>
  </r>
  <r>
    <n v="989"/>
    <d v="2024-03-11T00:00:00"/>
    <x v="1"/>
    <x v="5"/>
    <d v="2024-03-18T00:00:00"/>
    <n v="7"/>
    <x v="1"/>
    <s v="Customer 226"/>
    <x v="2"/>
    <s v="USA"/>
    <s v="Chicago"/>
    <s v="Illinois"/>
    <x v="3"/>
    <x v="2"/>
    <x v="4"/>
    <s v="Product A"/>
    <n v="199"/>
    <n v="1"/>
    <n v="92.07"/>
  </r>
  <r>
    <n v="990"/>
    <d v="2023-06-10T00:00:00"/>
    <x v="5"/>
    <x v="2"/>
    <d v="2023-06-17T00:00:00"/>
    <n v="7"/>
    <x v="3"/>
    <s v="Customer 198"/>
    <x v="1"/>
    <s v="USA"/>
    <s v="New York"/>
    <s v="New York"/>
    <x v="0"/>
    <x v="2"/>
    <x v="4"/>
    <s v="Product A"/>
    <n v="328.35"/>
    <n v="9"/>
    <n v="-64.209999999999994"/>
  </r>
  <r>
    <n v="991"/>
    <d v="2024-08-19T00:00:00"/>
    <x v="1"/>
    <x v="8"/>
    <d v="2024-08-23T00:00:00"/>
    <n v="4"/>
    <x v="0"/>
    <s v="Customer 104"/>
    <x v="0"/>
    <s v="India"/>
    <s v="Bangalore"/>
    <s v="Karnataka"/>
    <x v="1"/>
    <x v="0"/>
    <x v="0"/>
    <s v="Product A"/>
    <n v="179.06"/>
    <n v="4"/>
    <n v="-22.26"/>
  </r>
  <r>
    <n v="992"/>
    <d v="2024-11-04T00:00:00"/>
    <x v="1"/>
    <x v="11"/>
    <d v="2024-11-14T00:00:00"/>
    <n v="10"/>
    <x v="0"/>
    <s v="Customer 213"/>
    <x v="0"/>
    <s v="India"/>
    <s v="Delhi"/>
    <s v="Delhi"/>
    <x v="4"/>
    <x v="0"/>
    <x v="1"/>
    <s v="Product D"/>
    <n v="273.37"/>
    <n v="4"/>
    <n v="-53.23"/>
  </r>
  <r>
    <n v="993"/>
    <d v="2020-07-23T00:00:00"/>
    <x v="3"/>
    <x v="1"/>
    <d v="2020-07-28T00:00:00"/>
    <n v="5"/>
    <x v="2"/>
    <s v="Customer 102"/>
    <x v="1"/>
    <s v="Canada"/>
    <s v="Vancouver"/>
    <s v="British Columbia"/>
    <x v="2"/>
    <x v="0"/>
    <x v="0"/>
    <s v="Product D"/>
    <n v="496.97"/>
    <n v="8"/>
    <n v="120.72"/>
  </r>
  <r>
    <n v="994"/>
    <d v="2021-08-20T00:00:00"/>
    <x v="4"/>
    <x v="8"/>
    <d v="2021-08-23T00:00:00"/>
    <n v="3"/>
    <x v="0"/>
    <s v="Customer 79"/>
    <x v="1"/>
    <s v="India"/>
    <s v="Mumbai"/>
    <s v="Maharashtra"/>
    <x v="2"/>
    <x v="0"/>
    <x v="0"/>
    <s v="Product C"/>
    <n v="366.06"/>
    <n v="6"/>
    <n v="0.87"/>
  </r>
  <r>
    <n v="995"/>
    <d v="2023-11-13T00:00:00"/>
    <x v="5"/>
    <x v="11"/>
    <d v="2023-11-18T00:00:00"/>
    <n v="5"/>
    <x v="0"/>
    <s v="Customer 97"/>
    <x v="2"/>
    <s v="Canada"/>
    <s v="Montreal"/>
    <s v="Quebec"/>
    <x v="0"/>
    <x v="2"/>
    <x v="4"/>
    <s v="Product A"/>
    <n v="260.2"/>
    <n v="7"/>
    <n v="-14.12"/>
  </r>
  <r>
    <n v="996"/>
    <d v="2024-06-02T00:00:00"/>
    <x v="1"/>
    <x v="2"/>
    <d v="2024-06-06T00:00:00"/>
    <n v="4"/>
    <x v="1"/>
    <s v="Customer 205"/>
    <x v="1"/>
    <s v="USA"/>
    <s v="Los Angeles"/>
    <s v="California"/>
    <x v="2"/>
    <x v="2"/>
    <x v="5"/>
    <s v="Product D"/>
    <n v="37.299999999999997"/>
    <n v="5"/>
    <n v="2.0099999999999998"/>
  </r>
  <r>
    <n v="997"/>
    <d v="2020-04-30T00:00:00"/>
    <x v="3"/>
    <x v="7"/>
    <d v="2020-05-07T00:00:00"/>
    <n v="7"/>
    <x v="3"/>
    <s v="Customer 42"/>
    <x v="2"/>
    <s v="India"/>
    <s v="Bangalore"/>
    <s v="Karnataka"/>
    <x v="1"/>
    <x v="0"/>
    <x v="0"/>
    <s v="Product B"/>
    <n v="120.57"/>
    <n v="2"/>
    <n v="43.46"/>
  </r>
  <r>
    <n v="998"/>
    <d v="2022-06-16T00:00:00"/>
    <x v="2"/>
    <x v="2"/>
    <d v="2022-06-25T00:00:00"/>
    <n v="9"/>
    <x v="2"/>
    <s v="Customer 96"/>
    <x v="1"/>
    <s v="USA"/>
    <s v="Chicago"/>
    <s v="Illinois"/>
    <x v="3"/>
    <x v="2"/>
    <x v="4"/>
    <s v="Product B"/>
    <n v="277.87"/>
    <n v="4"/>
    <n v="-30.39"/>
  </r>
  <r>
    <n v="999"/>
    <d v="2024-10-25T00:00:00"/>
    <x v="1"/>
    <x v="3"/>
    <d v="2024-10-31T00:00:00"/>
    <n v="6"/>
    <x v="0"/>
    <s v="Customer 127"/>
    <x v="1"/>
    <s v="USA"/>
    <s v="Los Angeles"/>
    <s v="California"/>
    <x v="2"/>
    <x v="1"/>
    <x v="3"/>
    <s v="Product B"/>
    <n v="441.23"/>
    <n v="3"/>
    <n v="-120.01"/>
  </r>
  <r>
    <n v="1000"/>
    <d v="2020-11-13T00:00:00"/>
    <x v="3"/>
    <x v="11"/>
    <d v="2020-11-22T00:00:00"/>
    <n v="9"/>
    <x v="2"/>
    <s v="Customer 38"/>
    <x v="1"/>
    <s v="Canada"/>
    <s v="Toronto"/>
    <s v="Ontario"/>
    <x v="0"/>
    <x v="1"/>
    <x v="2"/>
    <s v="Product A"/>
    <n v="254.49"/>
    <n v="1"/>
    <n v="-61.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hip mod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G3:H7" firstHeaderRow="1" firstDataRow="1" firstDataCol="1"/>
  <pivotFields count="19">
    <pivotField showAll="0"/>
    <pivotField numFmtId="164" showAll="0"/>
    <pivotField showAll="0">
      <items count="7">
        <item x="3"/>
        <item x="4"/>
        <item x="2"/>
        <item x="5"/>
        <item x="1"/>
        <item x="0"/>
        <item t="default"/>
      </items>
    </pivotField>
    <pivotField showAll="0">
      <items count="13">
        <item x="4"/>
        <item x="9"/>
        <item x="5"/>
        <item x="7"/>
        <item x="0"/>
        <item x="2"/>
        <item x="1"/>
        <item x="8"/>
        <item x="6"/>
        <item x="3"/>
        <item x="11"/>
        <item x="10"/>
        <item t="default"/>
      </items>
    </pivotField>
    <pivotField numFmtId="164" showAll="0"/>
    <pivotField showAll="0"/>
    <pivotField axis="axisRow" showAll="0">
      <items count="5">
        <item x="2"/>
        <item x="0"/>
        <item x="3"/>
        <item x="1"/>
        <item t="default"/>
      </items>
    </pivotField>
    <pivotField showAll="0"/>
    <pivotField showAll="0">
      <items count="4">
        <item x="2"/>
        <item x="1"/>
        <item x="0"/>
        <item t="default"/>
      </items>
    </pivotField>
    <pivotField showAll="0"/>
    <pivotField showAll="0"/>
    <pivotField showAll="0"/>
    <pivotField showAll="0">
      <items count="6">
        <item x="3"/>
        <item x="0"/>
        <item x="4"/>
        <item x="1"/>
        <item x="2"/>
        <item t="default"/>
      </items>
    </pivotField>
    <pivotField showAll="0"/>
    <pivotField showAll="0"/>
    <pivotField showAll="0"/>
    <pivotField dataField="1" showAll="0"/>
    <pivotField showAll="0"/>
    <pivotField showAll="0"/>
  </pivotFields>
  <rowFields count="1">
    <field x="6"/>
  </rowFields>
  <rowItems count="4">
    <i>
      <x/>
    </i>
    <i>
      <x v="1"/>
    </i>
    <i>
      <x v="2"/>
    </i>
    <i>
      <x v="3"/>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ly profit"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J3:AK15" firstHeaderRow="1" firstDataRow="1" firstDataCol="1"/>
  <pivotFields count="19">
    <pivotField showAll="0"/>
    <pivotField numFmtId="164" showAll="0"/>
    <pivotField showAll="0">
      <items count="7">
        <item x="3"/>
        <item x="4"/>
        <item x="2"/>
        <item x="5"/>
        <item x="1"/>
        <item x="0"/>
        <item t="default"/>
      </items>
    </pivotField>
    <pivotField axis="axisRow" showAll="0">
      <items count="13">
        <item x="4"/>
        <item x="9"/>
        <item x="5"/>
        <item x="7"/>
        <item x="0"/>
        <item x="2"/>
        <item x="1"/>
        <item x="8"/>
        <item x="6"/>
        <item x="3"/>
        <item x="11"/>
        <item x="10"/>
        <item t="default"/>
      </items>
    </pivotField>
    <pivotField numFmtId="164" showAll="0"/>
    <pivotField showAll="0"/>
    <pivotField showAll="0">
      <items count="5">
        <item x="2"/>
        <item x="0"/>
        <item x="3"/>
        <item x="1"/>
        <item t="default"/>
      </items>
    </pivotField>
    <pivotField showAll="0"/>
    <pivotField showAll="0">
      <items count="4">
        <item x="2"/>
        <item x="1"/>
        <item x="0"/>
        <item t="default"/>
      </items>
    </pivotField>
    <pivotField showAll="0"/>
    <pivotField showAll="0"/>
    <pivotField showAll="0"/>
    <pivotField showAll="0">
      <items count="6">
        <item x="3"/>
        <item x="0"/>
        <item x="4"/>
        <item x="1"/>
        <item x="2"/>
        <item t="default"/>
      </items>
    </pivotField>
    <pivotField showAll="0"/>
    <pivotField showAll="0">
      <items count="7">
        <item x="2"/>
        <item x="1"/>
        <item x="4"/>
        <item x="0"/>
        <item x="3"/>
        <item x="5"/>
        <item t="default"/>
      </items>
    </pivotField>
    <pivotField showAll="0"/>
    <pivotField showAll="0"/>
    <pivotField showAll="0"/>
    <pivotField dataField="1" showAll="0"/>
  </pivotFields>
  <rowFields count="1">
    <field x="3"/>
  </rowFields>
  <rowItems count="12">
    <i>
      <x/>
    </i>
    <i>
      <x v="1"/>
    </i>
    <i>
      <x v="2"/>
    </i>
    <i>
      <x v="3"/>
    </i>
    <i>
      <x v="4"/>
    </i>
    <i>
      <x v="5"/>
    </i>
    <i>
      <x v="6"/>
    </i>
    <i>
      <x v="7"/>
    </i>
    <i>
      <x v="8"/>
    </i>
    <i>
      <x v="9"/>
    </i>
    <i>
      <x v="10"/>
    </i>
    <i>
      <x v="11"/>
    </i>
  </rowItems>
  <colItems count="1">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monthly quantity"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6">
  <location ref="AG3:AH15" firstHeaderRow="1" firstDataRow="1" firstDataCol="1"/>
  <pivotFields count="19">
    <pivotField showAll="0"/>
    <pivotField numFmtId="164" showAll="0"/>
    <pivotField showAll="0">
      <items count="7">
        <item x="3"/>
        <item x="4"/>
        <item x="2"/>
        <item x="5"/>
        <item x="1"/>
        <item x="0"/>
        <item t="default"/>
      </items>
    </pivotField>
    <pivotField axis="axisRow" showAll="0">
      <items count="13">
        <item x="4"/>
        <item x="9"/>
        <item x="5"/>
        <item x="7"/>
        <item x="0"/>
        <item x="2"/>
        <item x="1"/>
        <item x="8"/>
        <item x="6"/>
        <item x="3"/>
        <item x="11"/>
        <item x="10"/>
        <item t="default"/>
      </items>
    </pivotField>
    <pivotField numFmtId="164" showAll="0"/>
    <pivotField showAll="0"/>
    <pivotField showAll="0">
      <items count="5">
        <item x="2"/>
        <item x="0"/>
        <item x="3"/>
        <item x="1"/>
        <item t="default"/>
      </items>
    </pivotField>
    <pivotField showAll="0"/>
    <pivotField showAll="0">
      <items count="4">
        <item x="2"/>
        <item x="1"/>
        <item x="0"/>
        <item t="default"/>
      </items>
    </pivotField>
    <pivotField showAll="0"/>
    <pivotField showAll="0"/>
    <pivotField showAll="0"/>
    <pivotField showAll="0">
      <items count="6">
        <item x="3"/>
        <item x="0"/>
        <item x="4"/>
        <item x="1"/>
        <item x="2"/>
        <item t="default"/>
      </items>
    </pivotField>
    <pivotField showAll="0"/>
    <pivotField showAll="0">
      <items count="7">
        <item x="2"/>
        <item x="1"/>
        <item x="4"/>
        <item x="0"/>
        <item x="3"/>
        <item x="5"/>
        <item t="default"/>
      </items>
    </pivotField>
    <pivotField showAll="0"/>
    <pivotField showAll="0"/>
    <pivotField dataField="1" showAll="0"/>
    <pivotField showAll="0"/>
  </pivotFields>
  <rowFields count="1">
    <field x="3"/>
  </rowFields>
  <rowItems count="12">
    <i>
      <x/>
    </i>
    <i>
      <x v="1"/>
    </i>
    <i>
      <x v="2"/>
    </i>
    <i>
      <x v="3"/>
    </i>
    <i>
      <x v="4"/>
    </i>
    <i>
      <x v="5"/>
    </i>
    <i>
      <x v="6"/>
    </i>
    <i>
      <x v="7"/>
    </i>
    <i>
      <x v="8"/>
    </i>
    <i>
      <x v="9"/>
    </i>
    <i>
      <x v="10"/>
    </i>
    <i>
      <x v="11"/>
    </i>
  </rowItems>
  <colItems count="1">
    <i/>
  </colItems>
  <dataFields count="1">
    <dataField name="Sum of Quantity" fld="17" baseField="0" baseItem="0"/>
  </dataFields>
  <chartFormats count="2">
    <chartFormat chart="2"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yearwise sal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A3:AB9" firstHeaderRow="1" firstDataRow="1" firstDataCol="1"/>
  <pivotFields count="19">
    <pivotField showAll="0"/>
    <pivotField numFmtId="164" showAll="0"/>
    <pivotField axis="axisRow" showAll="0">
      <items count="7">
        <item x="3"/>
        <item x="4"/>
        <item x="2"/>
        <item x="5"/>
        <item x="1"/>
        <item x="0"/>
        <item t="default"/>
      </items>
    </pivotField>
    <pivotField showAll="0">
      <items count="13">
        <item x="4"/>
        <item x="9"/>
        <item x="5"/>
        <item x="7"/>
        <item x="0"/>
        <item x="2"/>
        <item x="1"/>
        <item x="8"/>
        <item x="6"/>
        <item x="3"/>
        <item x="11"/>
        <item x="10"/>
        <item t="default"/>
      </items>
    </pivotField>
    <pivotField numFmtId="164" showAll="0"/>
    <pivotField showAll="0"/>
    <pivotField showAll="0">
      <items count="5">
        <item x="2"/>
        <item x="0"/>
        <item x="3"/>
        <item x="1"/>
        <item t="default"/>
      </items>
    </pivotField>
    <pivotField showAll="0"/>
    <pivotField showAll="0">
      <items count="4">
        <item x="2"/>
        <item x="1"/>
        <item x="0"/>
        <item t="default"/>
      </items>
    </pivotField>
    <pivotField showAll="0"/>
    <pivotField showAll="0"/>
    <pivotField showAll="0"/>
    <pivotField showAll="0">
      <items count="6">
        <item x="3"/>
        <item x="0"/>
        <item x="4"/>
        <item x="1"/>
        <item x="2"/>
        <item t="default"/>
      </items>
    </pivotField>
    <pivotField showAll="0"/>
    <pivotField showAll="0">
      <items count="7">
        <item x="2"/>
        <item x="1"/>
        <item x="4"/>
        <item x="0"/>
        <item x="3"/>
        <item x="5"/>
        <item t="default"/>
      </items>
    </pivotField>
    <pivotField showAll="0"/>
    <pivotField dataField="1" showAll="0"/>
    <pivotField showAll="0"/>
    <pivotField showAll="0"/>
  </pivotFields>
  <rowFields count="1">
    <field x="2"/>
  </rowFields>
  <rowItems count="6">
    <i>
      <x/>
    </i>
    <i>
      <x v="1"/>
    </i>
    <i>
      <x v="2"/>
    </i>
    <i>
      <x v="3"/>
    </i>
    <i>
      <x v="4"/>
    </i>
    <i>
      <x v="5"/>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ub catagory"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T3:U9" firstHeaderRow="1" firstDataRow="1" firstDataCol="1"/>
  <pivotFields count="19">
    <pivotField showAll="0"/>
    <pivotField numFmtId="164" showAll="0"/>
    <pivotField showAll="0">
      <items count="7">
        <item x="3"/>
        <item x="4"/>
        <item x="2"/>
        <item x="5"/>
        <item x="1"/>
        <item x="0"/>
        <item t="default"/>
      </items>
    </pivotField>
    <pivotField showAll="0">
      <items count="13">
        <item x="4"/>
        <item x="9"/>
        <item x="5"/>
        <item x="7"/>
        <item x="0"/>
        <item x="2"/>
        <item x="1"/>
        <item x="8"/>
        <item x="6"/>
        <item x="3"/>
        <item x="11"/>
        <item x="10"/>
        <item t="default"/>
      </items>
    </pivotField>
    <pivotField numFmtId="164" showAll="0"/>
    <pivotField showAll="0"/>
    <pivotField showAll="0">
      <items count="5">
        <item x="2"/>
        <item x="0"/>
        <item x="3"/>
        <item x="1"/>
        <item t="default"/>
      </items>
    </pivotField>
    <pivotField showAll="0"/>
    <pivotField showAll="0">
      <items count="4">
        <item x="2"/>
        <item x="1"/>
        <item x="0"/>
        <item t="default"/>
      </items>
    </pivotField>
    <pivotField showAll="0"/>
    <pivotField showAll="0"/>
    <pivotField showAll="0"/>
    <pivotField showAll="0"/>
    <pivotField showAll="0"/>
    <pivotField axis="axisRow" showAll="0">
      <items count="7">
        <item x="2"/>
        <item x="1"/>
        <item x="4"/>
        <item x="0"/>
        <item x="3"/>
        <item x="5"/>
        <item t="default"/>
      </items>
    </pivotField>
    <pivotField showAll="0"/>
    <pivotField dataField="1" showAll="0"/>
    <pivotField showAll="0"/>
    <pivotField showAll="0"/>
  </pivotFields>
  <rowFields count="1">
    <field x="14"/>
  </rowFields>
  <rowItems count="6">
    <i>
      <x/>
    </i>
    <i>
      <x v="1"/>
    </i>
    <i>
      <x v="2"/>
    </i>
    <i>
      <x v="3"/>
    </i>
    <i>
      <x v="4"/>
    </i>
    <i>
      <x v="5"/>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egment"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M3:N6" firstHeaderRow="1" firstDataRow="1" firstDataCol="1"/>
  <pivotFields count="19">
    <pivotField showAll="0"/>
    <pivotField numFmtId="164" showAll="0"/>
    <pivotField showAll="0">
      <items count="7">
        <item x="3"/>
        <item x="4"/>
        <item x="2"/>
        <item x="5"/>
        <item x="1"/>
        <item x="0"/>
        <item t="default"/>
      </items>
    </pivotField>
    <pivotField showAll="0">
      <items count="13">
        <item x="4"/>
        <item x="9"/>
        <item x="5"/>
        <item x="7"/>
        <item x="0"/>
        <item x="2"/>
        <item x="1"/>
        <item x="8"/>
        <item x="6"/>
        <item x="3"/>
        <item x="11"/>
        <item x="10"/>
        <item t="default"/>
      </items>
    </pivotField>
    <pivotField numFmtId="164" showAll="0"/>
    <pivotField showAll="0"/>
    <pivotField showAll="0">
      <items count="5">
        <item x="2"/>
        <item x="0"/>
        <item x="3"/>
        <item x="1"/>
        <item t="default"/>
      </items>
    </pivotField>
    <pivotField showAll="0"/>
    <pivotField axis="axisRow" showAll="0">
      <items count="4">
        <item x="2"/>
        <item x="1"/>
        <item x="0"/>
        <item t="default"/>
      </items>
    </pivotField>
    <pivotField showAll="0"/>
    <pivotField showAll="0"/>
    <pivotField showAll="0"/>
    <pivotField showAll="0">
      <items count="6">
        <item x="3"/>
        <item x="0"/>
        <item x="4"/>
        <item x="1"/>
        <item x="2"/>
        <item t="default"/>
      </items>
    </pivotField>
    <pivotField showAll="0"/>
    <pivotField showAll="0"/>
    <pivotField showAll="0"/>
    <pivotField dataField="1" showAll="0"/>
    <pivotField showAll="0"/>
    <pivotField showAll="0"/>
  </pivotFields>
  <rowFields count="1">
    <field x="8"/>
  </rowFields>
  <rowItems count="3">
    <i>
      <x/>
    </i>
    <i>
      <x v="1"/>
    </i>
    <i>
      <x v="2"/>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catagory"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P3:AQ6" firstHeaderRow="1" firstDataRow="1" firstDataCol="1"/>
  <pivotFields count="19">
    <pivotField showAll="0"/>
    <pivotField numFmtId="164" showAll="0"/>
    <pivotField showAll="0">
      <items count="7">
        <item x="3"/>
        <item x="4"/>
        <item x="2"/>
        <item x="5"/>
        <item x="1"/>
        <item x="0"/>
        <item t="default"/>
      </items>
    </pivotField>
    <pivotField showAll="0">
      <items count="13">
        <item x="4"/>
        <item x="9"/>
        <item x="5"/>
        <item x="7"/>
        <item x="0"/>
        <item x="2"/>
        <item x="1"/>
        <item x="8"/>
        <item x="6"/>
        <item x="3"/>
        <item x="11"/>
        <item x="10"/>
        <item t="default"/>
      </items>
    </pivotField>
    <pivotField numFmtId="164" showAll="0"/>
    <pivotField showAll="0"/>
    <pivotField showAll="0">
      <items count="5">
        <item x="2"/>
        <item x="0"/>
        <item x="3"/>
        <item x="1"/>
        <item t="default"/>
      </items>
    </pivotField>
    <pivotField showAll="0"/>
    <pivotField showAll="0">
      <items count="4">
        <item x="2"/>
        <item x="1"/>
        <item x="0"/>
        <item t="default"/>
      </items>
    </pivotField>
    <pivotField showAll="0"/>
    <pivotField showAll="0"/>
    <pivotField showAll="0"/>
    <pivotField showAll="0">
      <items count="6">
        <item x="3"/>
        <item x="0"/>
        <item x="4"/>
        <item x="1"/>
        <item x="2"/>
        <item t="default"/>
      </items>
    </pivotField>
    <pivotField axis="axisRow" showAll="0">
      <items count="4">
        <item x="2"/>
        <item x="0"/>
        <item x="1"/>
        <item t="default"/>
      </items>
    </pivotField>
    <pivotField showAll="0">
      <items count="7">
        <item x="2"/>
        <item x="1"/>
        <item x="4"/>
        <item x="0"/>
        <item x="3"/>
        <item x="5"/>
        <item t="default"/>
      </items>
    </pivotField>
    <pivotField showAll="0"/>
    <pivotField dataField="1" showAll="0"/>
    <pivotField showAll="0"/>
    <pivotField showAll="0"/>
  </pivotFields>
  <rowFields count="1">
    <field x="13"/>
  </rowFields>
  <rowItems count="3">
    <i>
      <x/>
    </i>
    <i>
      <x v="1"/>
    </i>
    <i>
      <x v="2"/>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monthly sal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location ref="A3:B15" firstHeaderRow="1" firstDataRow="1" firstDataCol="1"/>
  <pivotFields count="19">
    <pivotField showAll="0"/>
    <pivotField numFmtId="164" showAll="0"/>
    <pivotField showAll="0">
      <items count="7">
        <item x="3"/>
        <item x="4"/>
        <item x="2"/>
        <item x="5"/>
        <item x="1"/>
        <item x="0"/>
        <item t="default"/>
      </items>
    </pivotField>
    <pivotField axis="axisRow" showAll="0">
      <items count="13">
        <item x="4"/>
        <item x="9"/>
        <item x="5"/>
        <item x="7"/>
        <item x="0"/>
        <item x="2"/>
        <item x="1"/>
        <item x="8"/>
        <item x="6"/>
        <item x="3"/>
        <item x="11"/>
        <item x="10"/>
        <item t="default"/>
      </items>
    </pivotField>
    <pivotField numFmtId="164" showAll="0"/>
    <pivotField showAll="0"/>
    <pivotField showAll="0"/>
    <pivotField showAll="0"/>
    <pivotField showAll="0">
      <items count="4">
        <item x="2"/>
        <item x="1"/>
        <item x="0"/>
        <item t="default"/>
      </items>
    </pivotField>
    <pivotField showAll="0"/>
    <pivotField showAll="0"/>
    <pivotField showAll="0"/>
    <pivotField showAll="0">
      <items count="6">
        <item x="3"/>
        <item x="0"/>
        <item x="4"/>
        <item x="1"/>
        <item x="2"/>
        <item t="default"/>
      </items>
    </pivotField>
    <pivotField showAll="0"/>
    <pivotField showAll="0"/>
    <pivotField showAll="0"/>
    <pivotField dataField="1" showAll="0"/>
    <pivotField showAll="0"/>
    <pivotField showAll="0"/>
  </pivotFields>
  <rowFields count="1">
    <field x="3"/>
  </rowFields>
  <rowItems count="12">
    <i>
      <x/>
    </i>
    <i>
      <x v="1"/>
    </i>
    <i>
      <x v="2"/>
    </i>
    <i>
      <x v="3"/>
    </i>
    <i>
      <x v="4"/>
    </i>
    <i>
      <x v="5"/>
    </i>
    <i>
      <x v="6"/>
    </i>
    <i>
      <x v="7"/>
    </i>
    <i>
      <x v="8"/>
    </i>
    <i>
      <x v="9"/>
    </i>
    <i>
      <x v="10"/>
    </i>
    <i>
      <x v="11"/>
    </i>
  </rowItems>
  <colItems count="1">
    <i/>
  </colItems>
  <dataFields count="1">
    <dataField name="Sum of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Year" sourceName="Order Year">
  <pivotTables>
    <pivotTable tabId="2" name="monthly sale"/>
    <pivotTable tabId="2" name="catagory"/>
    <pivotTable tabId="2" name="monthly profit"/>
    <pivotTable tabId="2" name="monthly quantity"/>
    <pivotTable tabId="2" name="segment"/>
    <pivotTable tabId="2" name="ship mode"/>
    <pivotTable tabId="2" name="sub catagory"/>
  </pivotTables>
  <data>
    <tabular pivotCacheId="1">
      <items count="6">
        <i x="3" s="1"/>
        <i x="4" s="1"/>
        <i x="2"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monthly sale"/>
    <pivotTable tabId="2" name="catagory"/>
    <pivotTable tabId="2" name="monthly profit"/>
    <pivotTable tabId="2" name="monthly quantity"/>
    <pivotTable tabId="2" name="segment"/>
    <pivotTable tabId="2" name="ship mode"/>
    <pivotTable tabId="2" name="yearwise sale"/>
  </pivotTables>
  <data>
    <tabular pivotCacheId="1">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monthly sale"/>
    <pivotTable tabId="2" name="catagory"/>
    <pivotTable tabId="2" name="monthly profit"/>
    <pivotTable tabId="2" name="monthly quantity"/>
    <pivotTable tabId="2" name="ship mode"/>
    <pivotTable tabId="2" name="sub catagory"/>
    <pivotTable tabId="2" name="yearwise sale"/>
    <pivotTable tabId="2" name="segment"/>
  </pivotTables>
  <data>
    <tabular pivotCacheId="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_Month" sourceName="Order Month">
  <pivotTables>
    <pivotTable tabId="2" name="catagory"/>
    <pivotTable tabId="2" name="monthly profit"/>
    <pivotTable tabId="2" name="segment"/>
    <pivotTable tabId="2" name="ship mode"/>
    <pivotTable tabId="2" name="sub catagory"/>
    <pivotTable tabId="2" name="yearwise sale"/>
  </pivotTables>
  <data>
    <tabular pivotCacheId="1">
      <items count="12">
        <i x="4" s="1"/>
        <i x="9" s="1"/>
        <i x="5" s="1"/>
        <i x="7" s="1"/>
        <i x="0" s="1"/>
        <i x="2" s="1"/>
        <i x="1" s="1"/>
        <i x="8" s="1"/>
        <i x="6" s="1"/>
        <i x="3" s="1"/>
        <i x="11"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Year" cache="Slicer_Order_Year" caption="Order Year" style="Slicer Style 4" rowHeight="241300"/>
  <slicer name="Region" cache="Slicer_Region" caption="Region" startItem="1" style="Slicer Style 4" rowHeight="241300"/>
  <slicer name="Segment" cache="Slicer_Segment" caption="Segment" style="Slicer Style 4" rowHeight="241300"/>
  <slicer name="Order Month" cache="Slicer_Order_Month" caption="Order Month" columnCount="12" showCaption="0" style="Slicer Style 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7"/>
  <sheetViews>
    <sheetView topLeftCell="W3" zoomScale="80" zoomScaleNormal="80" workbookViewId="0">
      <selection activeCell="AD3" sqref="AD3"/>
    </sheetView>
  </sheetViews>
  <sheetFormatPr defaultRowHeight="15" x14ac:dyDescent="0.25"/>
  <cols>
    <col min="1" max="1" width="14.140625" bestFit="1" customWidth="1"/>
    <col min="2" max="2" width="12.7109375" bestFit="1" customWidth="1"/>
    <col min="3" max="3" width="9.42578125" customWidth="1"/>
    <col min="6" max="6" width="1.42578125" customWidth="1"/>
    <col min="7" max="7" width="15.85546875" customWidth="1"/>
    <col min="8" max="8" width="12.7109375" bestFit="1" customWidth="1"/>
    <col min="9" max="9" width="6.7109375" customWidth="1"/>
    <col min="10" max="10" width="15.5703125" customWidth="1"/>
    <col min="11" max="11" width="14.28515625" customWidth="1"/>
    <col min="12" max="12" width="1.5703125" customWidth="1"/>
    <col min="13" max="13" width="14.140625" customWidth="1"/>
    <col min="14" max="14" width="12.7109375" bestFit="1" customWidth="1"/>
    <col min="15" max="15" width="9.28515625" customWidth="1"/>
    <col min="16" max="16" width="4.42578125" customWidth="1"/>
    <col min="18" max="18" width="9.140625" customWidth="1"/>
    <col min="19" max="19" width="1.28515625" customWidth="1"/>
    <col min="20" max="20" width="14.140625" customWidth="1"/>
    <col min="21" max="21" width="12.7109375" bestFit="1" customWidth="1"/>
    <col min="22" max="22" width="18.42578125" customWidth="1"/>
    <col min="23" max="23" width="3.7109375" customWidth="1"/>
    <col min="24" max="24" width="15.7109375" bestFit="1" customWidth="1"/>
    <col min="26" max="26" width="2.140625" customWidth="1"/>
    <col min="27" max="27" width="14.140625" bestFit="1" customWidth="1"/>
    <col min="28" max="28" width="12.7109375" customWidth="1"/>
    <col min="29" max="29" width="2" customWidth="1"/>
    <col min="32" max="32" width="2" customWidth="1"/>
    <col min="33" max="33" width="14.140625" bestFit="1" customWidth="1"/>
    <col min="34" max="34" width="15.85546875" bestFit="1" customWidth="1"/>
    <col min="35" max="35" width="2.140625" customWidth="1"/>
    <col min="36" max="36" width="14.140625" bestFit="1" customWidth="1"/>
    <col min="37" max="37" width="12.85546875" customWidth="1"/>
    <col min="38" max="38" width="1.7109375" customWidth="1"/>
    <col min="39" max="39" width="10.5703125" bestFit="1" customWidth="1"/>
    <col min="40" max="40" width="13.42578125" bestFit="1" customWidth="1"/>
    <col min="41" max="41" width="2" customWidth="1"/>
    <col min="42" max="42" width="16.28515625" customWidth="1"/>
    <col min="43" max="43" width="12.7109375" customWidth="1"/>
    <col min="44" max="44" width="3.28515625" customWidth="1"/>
    <col min="45" max="45" width="5.140625" customWidth="1"/>
  </cols>
  <sheetData>
    <row r="1" spans="1:47" x14ac:dyDescent="0.25">
      <c r="M1" t="s">
        <v>370</v>
      </c>
      <c r="T1" t="s">
        <v>371</v>
      </c>
      <c r="AP1" t="s">
        <v>372</v>
      </c>
    </row>
    <row r="2" spans="1:47" x14ac:dyDescent="0.25">
      <c r="M2" t="str">
        <f ca="1">VLOOKUP(M10,$M$10:$O$12,2)</f>
        <v>Home Office</v>
      </c>
      <c r="T2" t="str">
        <f ca="1">VLOOKUP(T14,T13:V18,2,0)</f>
        <v>Binders</v>
      </c>
      <c r="AP2" t="str">
        <f ca="1">VLOOKUP(1,AS3:AU5,2,0)</f>
        <v>Office Supplies</v>
      </c>
    </row>
    <row r="3" spans="1:47" x14ac:dyDescent="0.25">
      <c r="A3" s="4" t="s">
        <v>364</v>
      </c>
      <c r="B3" t="s">
        <v>363</v>
      </c>
      <c r="D3" s="5"/>
      <c r="E3" s="3"/>
      <c r="G3" s="4" t="s">
        <v>364</v>
      </c>
      <c r="H3" t="s">
        <v>363</v>
      </c>
      <c r="J3" s="5" t="str">
        <f ca="1">OFFSET(G3,1,0)</f>
        <v>First Class</v>
      </c>
      <c r="K3" s="3">
        <f ca="1">OFFSET(G3,1,1)</f>
        <v>71916.050000000017</v>
      </c>
      <c r="M3" s="4" t="s">
        <v>364</v>
      </c>
      <c r="N3" t="s">
        <v>363</v>
      </c>
      <c r="Q3" s="5"/>
      <c r="R3" s="3"/>
      <c r="T3" s="4" t="s">
        <v>364</v>
      </c>
      <c r="U3" t="s">
        <v>363</v>
      </c>
      <c r="X3" s="5"/>
      <c r="Y3" s="3"/>
      <c r="AA3" s="4" t="s">
        <v>364</v>
      </c>
      <c r="AB3" t="s">
        <v>363</v>
      </c>
      <c r="AD3" s="5">
        <f ca="1">OFFSET(AA3,1,0)</f>
        <v>2020</v>
      </c>
      <c r="AE3" s="3">
        <f ca="1">OFFSET(AA3,1,1)</f>
        <v>44580.210000000006</v>
      </c>
      <c r="AG3" s="4" t="s">
        <v>364</v>
      </c>
      <c r="AH3" t="s">
        <v>365</v>
      </c>
      <c r="AJ3" s="4" t="s">
        <v>364</v>
      </c>
      <c r="AK3" t="s">
        <v>366</v>
      </c>
      <c r="AM3" t="s">
        <v>367</v>
      </c>
      <c r="AN3" s="7">
        <f ca="1">SUM(AE:AE)</f>
        <v>253137.18000000002</v>
      </c>
      <c r="AP3" s="4" t="s">
        <v>364</v>
      </c>
      <c r="AQ3" t="s">
        <v>363</v>
      </c>
      <c r="AS3">
        <f ca="1">RANK(AU3,$AU$3:$AU$5)</f>
        <v>3</v>
      </c>
      <c r="AT3" s="5" t="str">
        <f ca="1">OFFSET(AP3,1,0)</f>
        <v>Furniture</v>
      </c>
      <c r="AU3" s="3">
        <f ca="1">OFFSET(AP3,1,1)</f>
        <v>75413.240000000034</v>
      </c>
    </row>
    <row r="4" spans="1:47" x14ac:dyDescent="0.25">
      <c r="A4" s="5" t="s">
        <v>23</v>
      </c>
      <c r="B4" s="3">
        <v>24290.459999999995</v>
      </c>
      <c r="D4" s="5"/>
      <c r="E4" s="3"/>
      <c r="G4" s="5" t="s">
        <v>33</v>
      </c>
      <c r="H4" s="3">
        <v>71916.050000000017</v>
      </c>
      <c r="J4" s="5" t="str">
        <f ca="1">OFFSET(G4,1,0)</f>
        <v>Same Day</v>
      </c>
      <c r="K4" s="3">
        <f ca="1">OFFSET(G4,1,1)</f>
        <v>59727.350000000035</v>
      </c>
      <c r="M4" s="5" t="s">
        <v>325</v>
      </c>
      <c r="N4" s="3">
        <v>82389.260000000009</v>
      </c>
      <c r="Q4" s="5"/>
      <c r="R4" s="3"/>
      <c r="T4" s="5" t="s">
        <v>355</v>
      </c>
      <c r="U4" s="3">
        <v>44605.17</v>
      </c>
      <c r="X4" s="5"/>
      <c r="Y4" s="3"/>
      <c r="AA4" s="5">
        <v>2020</v>
      </c>
      <c r="AB4" s="3">
        <v>44580.210000000006</v>
      </c>
      <c r="AD4" s="5">
        <f t="shared" ref="AD4:AD8" ca="1" si="0">OFFSET(AA4,1,0)</f>
        <v>2021</v>
      </c>
      <c r="AE4" s="3">
        <f t="shared" ref="AE4:AE8" ca="1" si="1">OFFSET(AA4,1,1)</f>
        <v>42007.380000000005</v>
      </c>
      <c r="AG4" s="5" t="s">
        <v>23</v>
      </c>
      <c r="AH4" s="3">
        <v>507</v>
      </c>
      <c r="AJ4" s="5" t="s">
        <v>23</v>
      </c>
      <c r="AK4" s="3">
        <v>2036.3400000000006</v>
      </c>
      <c r="AM4" t="s">
        <v>368</v>
      </c>
      <c r="AN4" s="7">
        <f>SUM(AK:AK)</f>
        <v>22772.69</v>
      </c>
      <c r="AP4" s="5" t="s">
        <v>352</v>
      </c>
      <c r="AQ4" s="3">
        <v>75413.240000000034</v>
      </c>
      <c r="AS4">
        <f t="shared" ref="AS4:AS5" ca="1" si="2">RANK(AU4,$AU$3:$AU$5)</f>
        <v>1</v>
      </c>
      <c r="AT4" s="5" t="str">
        <f ca="1">OFFSET(AP4,1,0)</f>
        <v>Office Supplies</v>
      </c>
      <c r="AU4" s="3">
        <f t="shared" ref="AU4:AU5" ca="1" si="3">OFFSET(AP4,1,1)</f>
        <v>93397.369999999952</v>
      </c>
    </row>
    <row r="5" spans="1:47" x14ac:dyDescent="0.25">
      <c r="A5" s="5" t="s">
        <v>28</v>
      </c>
      <c r="B5" s="3">
        <v>23790.48</v>
      </c>
      <c r="D5" s="5"/>
      <c r="E5" s="3"/>
      <c r="G5" s="5" t="s">
        <v>31</v>
      </c>
      <c r="H5" s="3">
        <v>59727.350000000035</v>
      </c>
      <c r="J5" s="5" t="str">
        <f t="shared" ref="J4:J6" ca="1" si="4">OFFSET(G5,1,0)</f>
        <v>Second Class</v>
      </c>
      <c r="K5" s="3">
        <f ca="1">OFFSET(G5,1,1)</f>
        <v>56533.060000000005</v>
      </c>
      <c r="M5" s="5" t="s">
        <v>324</v>
      </c>
      <c r="N5" s="3">
        <v>83807.179999999935</v>
      </c>
      <c r="Q5" s="5"/>
      <c r="R5" s="3"/>
      <c r="T5" s="5" t="s">
        <v>354</v>
      </c>
      <c r="U5" s="3">
        <v>48349.859999999979</v>
      </c>
      <c r="X5" s="5"/>
      <c r="Y5" s="3"/>
      <c r="AA5" s="5">
        <v>2021</v>
      </c>
      <c r="AB5" s="3">
        <v>42007.380000000005</v>
      </c>
      <c r="AD5" s="5">
        <f t="shared" ca="1" si="0"/>
        <v>2022</v>
      </c>
      <c r="AE5" s="3">
        <f t="shared" ca="1" si="1"/>
        <v>46091.340000000004</v>
      </c>
      <c r="AG5" s="5" t="s">
        <v>28</v>
      </c>
      <c r="AH5" s="3">
        <v>490</v>
      </c>
      <c r="AJ5" s="5" t="s">
        <v>28</v>
      </c>
      <c r="AK5" s="3">
        <v>1964.2299999999993</v>
      </c>
      <c r="AM5" t="s">
        <v>369</v>
      </c>
      <c r="AN5" s="6">
        <f ca="1">AN4/AN3</f>
        <v>8.9961853884917245E-2</v>
      </c>
      <c r="AP5" s="5" t="s">
        <v>350</v>
      </c>
      <c r="AQ5" s="3">
        <v>93397.369999999952</v>
      </c>
      <c r="AS5">
        <f t="shared" ca="1" si="2"/>
        <v>2</v>
      </c>
      <c r="AT5" s="5" t="str">
        <f t="shared" ref="AT4:AT5" ca="1" si="5">OFFSET(AP5,1,0)</f>
        <v>Technology</v>
      </c>
      <c r="AU5" s="3">
        <f t="shared" ca="1" si="3"/>
        <v>84326.56999999992</v>
      </c>
    </row>
    <row r="6" spans="1:47" x14ac:dyDescent="0.25">
      <c r="A6" s="5" t="s">
        <v>24</v>
      </c>
      <c r="B6" s="3">
        <v>20163.809999999998</v>
      </c>
      <c r="D6" s="5"/>
      <c r="E6" s="3"/>
      <c r="G6" s="5" t="s">
        <v>34</v>
      </c>
      <c r="H6" s="3">
        <v>56533.060000000005</v>
      </c>
      <c r="J6" s="5" t="str">
        <f t="shared" ca="1" si="4"/>
        <v>Standard Class</v>
      </c>
      <c r="K6" s="3">
        <f ca="1">OFFSET(G6,1,1)</f>
        <v>64960.719999999972</v>
      </c>
      <c r="M6" s="5" t="s">
        <v>323</v>
      </c>
      <c r="N6" s="3">
        <v>86940.739999999932</v>
      </c>
      <c r="T6" s="5" t="s">
        <v>357</v>
      </c>
      <c r="U6" s="3">
        <v>37054.329999999994</v>
      </c>
      <c r="X6" s="5"/>
      <c r="Y6" s="3"/>
      <c r="AA6" s="5">
        <v>2022</v>
      </c>
      <c r="AB6" s="3">
        <v>46091.340000000004</v>
      </c>
      <c r="AD6" s="5">
        <f t="shared" ca="1" si="0"/>
        <v>2023</v>
      </c>
      <c r="AE6" s="3">
        <f t="shared" ca="1" si="1"/>
        <v>41814.540000000015</v>
      </c>
      <c r="AG6" s="5" t="s">
        <v>24</v>
      </c>
      <c r="AH6" s="3">
        <v>440</v>
      </c>
      <c r="AJ6" s="5" t="s">
        <v>24</v>
      </c>
      <c r="AK6" s="3">
        <v>798.59000000000015</v>
      </c>
      <c r="AP6" s="5" t="s">
        <v>351</v>
      </c>
      <c r="AQ6" s="3">
        <v>84326.56999999992</v>
      </c>
    </row>
    <row r="7" spans="1:47" x14ac:dyDescent="0.25">
      <c r="A7" s="5" t="s">
        <v>26</v>
      </c>
      <c r="B7" s="3">
        <v>17429.900000000005</v>
      </c>
      <c r="D7" s="5"/>
      <c r="E7" s="3"/>
      <c r="G7" s="5" t="s">
        <v>32</v>
      </c>
      <c r="H7" s="3">
        <v>64960.719999999972</v>
      </c>
      <c r="T7" s="5" t="s">
        <v>353</v>
      </c>
      <c r="U7" s="3">
        <v>45047.510000000031</v>
      </c>
      <c r="X7" s="5"/>
      <c r="Y7" s="3"/>
      <c r="AA7" s="5">
        <v>2023</v>
      </c>
      <c r="AB7" s="3">
        <v>41814.540000000015</v>
      </c>
      <c r="AD7" s="5">
        <f t="shared" ca="1" si="0"/>
        <v>2024</v>
      </c>
      <c r="AE7" s="3">
        <f t="shared" ca="1" si="1"/>
        <v>38783.679999999993</v>
      </c>
      <c r="AG7" s="5" t="s">
        <v>26</v>
      </c>
      <c r="AH7" s="3">
        <v>360</v>
      </c>
      <c r="AJ7" s="5" t="s">
        <v>26</v>
      </c>
      <c r="AK7" s="3">
        <v>2926.5600000000004</v>
      </c>
    </row>
    <row r="8" spans="1:47" x14ac:dyDescent="0.25">
      <c r="A8" s="5" t="s">
        <v>19</v>
      </c>
      <c r="B8" s="3">
        <v>18045.109999999997</v>
      </c>
      <c r="D8" s="5"/>
      <c r="E8" s="3"/>
      <c r="T8" s="5" t="s">
        <v>356</v>
      </c>
      <c r="U8" s="3">
        <v>39721.400000000009</v>
      </c>
      <c r="X8" s="5"/>
      <c r="Y8" s="3"/>
      <c r="AA8" s="5">
        <v>2024</v>
      </c>
      <c r="AB8" s="3">
        <v>38783.679999999993</v>
      </c>
      <c r="AD8" s="5">
        <f t="shared" ca="1" si="0"/>
        <v>2025</v>
      </c>
      <c r="AE8" s="3">
        <f t="shared" ca="1" si="1"/>
        <v>39860.03</v>
      </c>
      <c r="AG8" s="5" t="s">
        <v>19</v>
      </c>
      <c r="AH8" s="3">
        <v>415</v>
      </c>
      <c r="AJ8" s="5" t="s">
        <v>19</v>
      </c>
      <c r="AK8" s="3">
        <v>1246.0500000000004</v>
      </c>
    </row>
    <row r="9" spans="1:47" x14ac:dyDescent="0.25">
      <c r="A9" s="5" t="s">
        <v>21</v>
      </c>
      <c r="B9" s="3">
        <v>23499.389999999996</v>
      </c>
      <c r="D9" s="5"/>
      <c r="E9" s="3"/>
      <c r="T9" s="5" t="s">
        <v>358</v>
      </c>
      <c r="U9" s="3">
        <v>38358.910000000003</v>
      </c>
      <c r="AA9" s="5">
        <v>2025</v>
      </c>
      <c r="AB9" s="3">
        <v>39860.03</v>
      </c>
      <c r="AG9" s="5" t="s">
        <v>21</v>
      </c>
      <c r="AH9" s="3">
        <v>484</v>
      </c>
      <c r="AJ9" s="5" t="s">
        <v>21</v>
      </c>
      <c r="AK9" s="3">
        <v>1477.2600000000007</v>
      </c>
    </row>
    <row r="10" spans="1:47" x14ac:dyDescent="0.25">
      <c r="A10" s="5" t="s">
        <v>20</v>
      </c>
      <c r="B10" s="3">
        <v>19066.680000000004</v>
      </c>
      <c r="D10" s="5"/>
      <c r="E10" s="3"/>
      <c r="M10">
        <f ca="1">RANK(O10,$O$10:$O$12)</f>
        <v>3</v>
      </c>
      <c r="N10" t="str">
        <f ca="1">OFFSET(M3,1,0,1,1)</f>
        <v>Consumer</v>
      </c>
      <c r="O10">
        <f ca="1">OFFSET(M3,1,1)</f>
        <v>82389.260000000009</v>
      </c>
      <c r="AG10" s="5" t="s">
        <v>20</v>
      </c>
      <c r="AH10" s="3">
        <v>379</v>
      </c>
      <c r="AJ10" s="5" t="s">
        <v>20</v>
      </c>
      <c r="AK10" s="3">
        <v>956.47000000000014</v>
      </c>
    </row>
    <row r="11" spans="1:47" x14ac:dyDescent="0.25">
      <c r="A11" s="5" t="s">
        <v>27</v>
      </c>
      <c r="B11" s="3">
        <v>21863.129999999997</v>
      </c>
      <c r="D11" s="5"/>
      <c r="E11" s="3"/>
      <c r="M11">
        <f t="shared" ref="M11:M12" ca="1" si="6">RANK(O11,$O$10:$O$12)</f>
        <v>2</v>
      </c>
      <c r="N11" t="str">
        <f t="shared" ref="N11:N12" ca="1" si="7">OFFSET(M4,1,0,1,1)</f>
        <v>Corporate</v>
      </c>
      <c r="O11">
        <f t="shared" ref="O11:O12" ca="1" si="8">OFFSET(M4,1,1)</f>
        <v>83807.179999999935</v>
      </c>
      <c r="AG11" s="5" t="s">
        <v>27</v>
      </c>
      <c r="AH11" s="3">
        <v>481</v>
      </c>
      <c r="AJ11" s="5" t="s">
        <v>27</v>
      </c>
      <c r="AK11" s="3">
        <v>3254.81</v>
      </c>
    </row>
    <row r="12" spans="1:47" x14ac:dyDescent="0.25">
      <c r="A12" s="5" t="s">
        <v>25</v>
      </c>
      <c r="B12" s="3">
        <v>20669.860000000004</v>
      </c>
      <c r="D12" s="5"/>
      <c r="E12" s="3"/>
      <c r="M12">
        <f t="shared" ca="1" si="6"/>
        <v>1</v>
      </c>
      <c r="N12" t="str">
        <f t="shared" ca="1" si="7"/>
        <v>Home Office</v>
      </c>
      <c r="O12">
        <f t="shared" ca="1" si="8"/>
        <v>86940.739999999932</v>
      </c>
      <c r="AG12" s="5" t="s">
        <v>25</v>
      </c>
      <c r="AH12" s="3">
        <v>486</v>
      </c>
      <c r="AJ12" s="5" t="s">
        <v>25</v>
      </c>
      <c r="AK12" s="3">
        <v>2341.4799999999996</v>
      </c>
    </row>
    <row r="13" spans="1:47" x14ac:dyDescent="0.25">
      <c r="A13" s="5" t="s">
        <v>22</v>
      </c>
      <c r="B13" s="3">
        <v>21600.78000000001</v>
      </c>
      <c r="D13" s="5"/>
      <c r="E13" s="3"/>
      <c r="T13">
        <f ca="1">RANK(V13,$V$13:$V$18)</f>
        <v>3</v>
      </c>
      <c r="U13" t="str">
        <f ca="1">OFFSET(T3,1,0)</f>
        <v>Accessories</v>
      </c>
      <c r="V13">
        <f ca="1">OFFSET(T3,1,1)</f>
        <v>44605.17</v>
      </c>
      <c r="AG13" s="5" t="s">
        <v>22</v>
      </c>
      <c r="AH13" s="3">
        <v>440</v>
      </c>
      <c r="AJ13" s="5" t="s">
        <v>22</v>
      </c>
      <c r="AK13" s="3">
        <v>2085.6600000000003</v>
      </c>
    </row>
    <row r="14" spans="1:47" x14ac:dyDescent="0.25">
      <c r="A14" s="5" t="s">
        <v>30</v>
      </c>
      <c r="B14" s="3">
        <v>18550.750000000004</v>
      </c>
      <c r="D14" s="5"/>
      <c r="E14" s="3"/>
      <c r="T14">
        <f t="shared" ref="T14:T18" ca="1" si="9">RANK(V14,$V$13:$V$18)</f>
        <v>1</v>
      </c>
      <c r="U14" t="str">
        <f ca="1">OFFSET(T4,1,0)</f>
        <v>Binders</v>
      </c>
      <c r="V14">
        <f ca="1">OFFSET(T4,1,1)</f>
        <v>48349.859999999979</v>
      </c>
      <c r="AG14" s="5" t="s">
        <v>30</v>
      </c>
      <c r="AH14" s="3">
        <v>395</v>
      </c>
      <c r="AJ14" s="5" t="s">
        <v>30</v>
      </c>
      <c r="AK14" s="3">
        <v>1215.7299999999998</v>
      </c>
    </row>
    <row r="15" spans="1:47" x14ac:dyDescent="0.25">
      <c r="A15" s="5" t="s">
        <v>29</v>
      </c>
      <c r="B15" s="3">
        <v>24166.829999999998</v>
      </c>
      <c r="T15">
        <f t="shared" ca="1" si="9"/>
        <v>6</v>
      </c>
      <c r="U15" t="str">
        <f t="shared" ref="U15:U18" ca="1" si="10">OFFSET(T5,1,0)</f>
        <v>Chairs</v>
      </c>
      <c r="V15">
        <f t="shared" ref="V15:V18" ca="1" si="11">OFFSET(T5,1,1)</f>
        <v>37054.329999999994</v>
      </c>
      <c r="AG15" s="5" t="s">
        <v>29</v>
      </c>
      <c r="AH15" s="3">
        <v>516</v>
      </c>
      <c r="AJ15" s="5" t="s">
        <v>29</v>
      </c>
      <c r="AK15" s="3">
        <v>2469.5099999999989</v>
      </c>
    </row>
    <row r="16" spans="1:47" x14ac:dyDescent="0.25">
      <c r="B16" t="str">
        <f ca="1">OFFSET(A3,1,0)</f>
        <v>January</v>
      </c>
      <c r="C16">
        <f ca="1">OFFSET(A3,1,1)</f>
        <v>24290.459999999995</v>
      </c>
      <c r="T16">
        <f t="shared" ca="1" si="9"/>
        <v>2</v>
      </c>
      <c r="U16" t="str">
        <f t="shared" ca="1" si="10"/>
        <v>Paper</v>
      </c>
      <c r="V16">
        <f t="shared" ca="1" si="11"/>
        <v>45047.510000000031</v>
      </c>
    </row>
    <row r="17" spans="2:22" x14ac:dyDescent="0.25">
      <c r="B17" t="str">
        <f t="shared" ref="B17:B27" ca="1" si="12">OFFSET(A4,1,0)</f>
        <v>February</v>
      </c>
      <c r="C17">
        <f t="shared" ref="C17:C27" ca="1" si="13">OFFSET(A4,1,1)</f>
        <v>23790.48</v>
      </c>
      <c r="T17">
        <f t="shared" ca="1" si="9"/>
        <v>4</v>
      </c>
      <c r="U17" t="str">
        <f t="shared" ca="1" si="10"/>
        <v>Phones</v>
      </c>
      <c r="V17">
        <f t="shared" ca="1" si="11"/>
        <v>39721.400000000009</v>
      </c>
    </row>
    <row r="18" spans="2:22" x14ac:dyDescent="0.25">
      <c r="B18" t="str">
        <f t="shared" ca="1" si="12"/>
        <v>March</v>
      </c>
      <c r="C18">
        <f t="shared" ca="1" si="13"/>
        <v>20163.809999999998</v>
      </c>
      <c r="T18">
        <f t="shared" ca="1" si="9"/>
        <v>5</v>
      </c>
      <c r="U18" t="str">
        <f t="shared" ca="1" si="10"/>
        <v>Tables</v>
      </c>
      <c r="V18">
        <f t="shared" ca="1" si="11"/>
        <v>38358.910000000003</v>
      </c>
    </row>
    <row r="19" spans="2:22" x14ac:dyDescent="0.25">
      <c r="B19" t="str">
        <f t="shared" ca="1" si="12"/>
        <v>April</v>
      </c>
      <c r="C19">
        <f t="shared" ca="1" si="13"/>
        <v>17429.900000000005</v>
      </c>
    </row>
    <row r="20" spans="2:22" x14ac:dyDescent="0.25">
      <c r="B20" t="str">
        <f t="shared" ca="1" si="12"/>
        <v>May</v>
      </c>
      <c r="C20">
        <f t="shared" ca="1" si="13"/>
        <v>18045.109999999997</v>
      </c>
    </row>
    <row r="21" spans="2:22" x14ac:dyDescent="0.25">
      <c r="B21" t="str">
        <f t="shared" ca="1" si="12"/>
        <v>June</v>
      </c>
      <c r="C21">
        <f t="shared" ca="1" si="13"/>
        <v>23499.389999999996</v>
      </c>
    </row>
    <row r="22" spans="2:22" x14ac:dyDescent="0.25">
      <c r="B22" t="str">
        <f t="shared" ca="1" si="12"/>
        <v>July</v>
      </c>
      <c r="C22">
        <f t="shared" ca="1" si="13"/>
        <v>19066.680000000004</v>
      </c>
    </row>
    <row r="23" spans="2:22" x14ac:dyDescent="0.25">
      <c r="B23" t="str">
        <f t="shared" ca="1" si="12"/>
        <v>August</v>
      </c>
      <c r="C23">
        <f t="shared" ca="1" si="13"/>
        <v>21863.129999999997</v>
      </c>
    </row>
    <row r="24" spans="2:22" x14ac:dyDescent="0.25">
      <c r="B24" t="str">
        <f t="shared" ca="1" si="12"/>
        <v>September</v>
      </c>
      <c r="C24">
        <f t="shared" ca="1" si="13"/>
        <v>20669.860000000004</v>
      </c>
    </row>
    <row r="25" spans="2:22" x14ac:dyDescent="0.25">
      <c r="B25" t="str">
        <f t="shared" ca="1" si="12"/>
        <v>October</v>
      </c>
      <c r="C25">
        <f t="shared" ca="1" si="13"/>
        <v>21600.78000000001</v>
      </c>
    </row>
    <row r="26" spans="2:22" x14ac:dyDescent="0.25">
      <c r="B26" t="str">
        <f t="shared" ca="1" si="12"/>
        <v>November</v>
      </c>
      <c r="C26">
        <f t="shared" ca="1" si="13"/>
        <v>18550.750000000004</v>
      </c>
    </row>
    <row r="27" spans="2:22" x14ac:dyDescent="0.25">
      <c r="B27" t="str">
        <f t="shared" ca="1" si="12"/>
        <v>December</v>
      </c>
      <c r="C27">
        <f t="shared" ca="1" si="13"/>
        <v>24166.829999999998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workbookViewId="0">
      <selection sqref="A1:S1001"/>
    </sheetView>
  </sheetViews>
  <sheetFormatPr defaultRowHeight="15" x14ac:dyDescent="0.25"/>
  <cols>
    <col min="2" max="2" width="10.7109375" bestFit="1" customWidth="1"/>
    <col min="5" max="5" width="10.425781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1</v>
      </c>
      <c r="B2" s="2">
        <v>45800</v>
      </c>
      <c r="C2">
        <v>2025</v>
      </c>
      <c r="D2" t="s">
        <v>19</v>
      </c>
      <c r="E2" s="2">
        <v>45810</v>
      </c>
      <c r="F2">
        <v>10</v>
      </c>
      <c r="G2" t="s">
        <v>31</v>
      </c>
      <c r="H2" t="s">
        <v>35</v>
      </c>
      <c r="I2" t="s">
        <v>323</v>
      </c>
      <c r="J2" t="s">
        <v>326</v>
      </c>
      <c r="K2" t="s">
        <v>329</v>
      </c>
      <c r="L2" t="s">
        <v>338</v>
      </c>
      <c r="M2" t="s">
        <v>345</v>
      </c>
      <c r="N2" t="s">
        <v>350</v>
      </c>
      <c r="O2" t="s">
        <v>353</v>
      </c>
      <c r="P2" t="s">
        <v>359</v>
      </c>
      <c r="Q2">
        <v>220.26</v>
      </c>
      <c r="R2">
        <v>10</v>
      </c>
      <c r="S2">
        <v>81.739999999999995</v>
      </c>
    </row>
    <row r="3" spans="1:19" x14ac:dyDescent="0.25">
      <c r="A3">
        <v>2</v>
      </c>
      <c r="B3" s="2">
        <v>45487</v>
      </c>
      <c r="C3">
        <v>2024</v>
      </c>
      <c r="D3" t="s">
        <v>20</v>
      </c>
      <c r="E3" s="2">
        <v>45495</v>
      </c>
      <c r="F3">
        <v>8</v>
      </c>
      <c r="G3" t="s">
        <v>32</v>
      </c>
      <c r="H3" t="s">
        <v>36</v>
      </c>
      <c r="I3" t="s">
        <v>324</v>
      </c>
      <c r="J3" t="s">
        <v>327</v>
      </c>
      <c r="K3" t="s">
        <v>330</v>
      </c>
      <c r="L3" t="s">
        <v>339</v>
      </c>
      <c r="M3" t="s">
        <v>346</v>
      </c>
      <c r="N3" t="s">
        <v>350</v>
      </c>
      <c r="O3" t="s">
        <v>354</v>
      </c>
      <c r="P3" t="s">
        <v>360</v>
      </c>
      <c r="Q3">
        <v>311.42</v>
      </c>
      <c r="R3">
        <v>6</v>
      </c>
      <c r="S3">
        <v>121.99</v>
      </c>
    </row>
    <row r="4" spans="1:19" x14ac:dyDescent="0.25">
      <c r="A4">
        <v>3</v>
      </c>
      <c r="B4" s="2">
        <v>44731</v>
      </c>
      <c r="C4">
        <v>2022</v>
      </c>
      <c r="D4" t="s">
        <v>21</v>
      </c>
      <c r="E4" s="2">
        <v>44735</v>
      </c>
      <c r="F4">
        <v>4</v>
      </c>
      <c r="G4" t="s">
        <v>31</v>
      </c>
      <c r="H4" t="s">
        <v>37</v>
      </c>
      <c r="I4" t="s">
        <v>324</v>
      </c>
      <c r="J4" t="s">
        <v>326</v>
      </c>
      <c r="K4" t="s">
        <v>331</v>
      </c>
      <c r="L4" t="s">
        <v>340</v>
      </c>
      <c r="M4" t="s">
        <v>347</v>
      </c>
      <c r="N4" t="s">
        <v>351</v>
      </c>
      <c r="O4" t="s">
        <v>355</v>
      </c>
      <c r="P4" t="s">
        <v>361</v>
      </c>
      <c r="Q4">
        <v>282.8</v>
      </c>
      <c r="R4">
        <v>5</v>
      </c>
      <c r="S4">
        <v>74.540000000000006</v>
      </c>
    </row>
    <row r="5" spans="1:19" x14ac:dyDescent="0.25">
      <c r="A5">
        <v>4</v>
      </c>
      <c r="B5" s="2">
        <v>44855</v>
      </c>
      <c r="C5">
        <v>2022</v>
      </c>
      <c r="D5" t="s">
        <v>22</v>
      </c>
      <c r="E5" s="2">
        <v>44865</v>
      </c>
      <c r="F5">
        <v>10</v>
      </c>
      <c r="G5" t="s">
        <v>32</v>
      </c>
      <c r="H5" t="s">
        <v>38</v>
      </c>
      <c r="I5" t="s">
        <v>325</v>
      </c>
      <c r="J5" t="s">
        <v>328</v>
      </c>
      <c r="K5" t="s">
        <v>332</v>
      </c>
      <c r="L5" t="s">
        <v>341</v>
      </c>
      <c r="M5" t="s">
        <v>348</v>
      </c>
      <c r="N5" t="s">
        <v>350</v>
      </c>
      <c r="O5" t="s">
        <v>353</v>
      </c>
      <c r="P5" t="s">
        <v>362</v>
      </c>
      <c r="Q5">
        <v>418.18</v>
      </c>
      <c r="R5">
        <v>8</v>
      </c>
      <c r="S5">
        <v>-112.52</v>
      </c>
    </row>
    <row r="6" spans="1:19" x14ac:dyDescent="0.25">
      <c r="A6">
        <v>5</v>
      </c>
      <c r="B6" s="2">
        <v>43861</v>
      </c>
      <c r="C6">
        <v>2020</v>
      </c>
      <c r="D6" t="s">
        <v>23</v>
      </c>
      <c r="E6" s="2">
        <v>43866</v>
      </c>
      <c r="F6">
        <v>5</v>
      </c>
      <c r="G6" t="s">
        <v>33</v>
      </c>
      <c r="H6" t="s">
        <v>39</v>
      </c>
      <c r="I6" t="s">
        <v>324</v>
      </c>
      <c r="J6" t="s">
        <v>326</v>
      </c>
      <c r="K6" t="s">
        <v>333</v>
      </c>
      <c r="L6" t="s">
        <v>342</v>
      </c>
      <c r="M6" t="s">
        <v>345</v>
      </c>
      <c r="N6" t="s">
        <v>350</v>
      </c>
      <c r="O6" t="s">
        <v>353</v>
      </c>
      <c r="P6" t="s">
        <v>359</v>
      </c>
      <c r="Q6">
        <v>32.04</v>
      </c>
      <c r="R6">
        <v>1</v>
      </c>
      <c r="S6">
        <v>9.82</v>
      </c>
    </row>
    <row r="7" spans="1:19" x14ac:dyDescent="0.25">
      <c r="A7">
        <v>6</v>
      </c>
      <c r="B7" s="2">
        <v>44630</v>
      </c>
      <c r="C7">
        <v>2022</v>
      </c>
      <c r="D7" t="s">
        <v>24</v>
      </c>
      <c r="E7" s="2">
        <v>44633</v>
      </c>
      <c r="F7">
        <v>3</v>
      </c>
      <c r="G7" t="s">
        <v>31</v>
      </c>
      <c r="H7" t="s">
        <v>40</v>
      </c>
      <c r="I7" t="s">
        <v>325</v>
      </c>
      <c r="J7" t="s">
        <v>327</v>
      </c>
      <c r="K7" t="s">
        <v>334</v>
      </c>
      <c r="L7" t="s">
        <v>334</v>
      </c>
      <c r="M7" t="s">
        <v>349</v>
      </c>
      <c r="N7" t="s">
        <v>351</v>
      </c>
      <c r="O7" t="s">
        <v>356</v>
      </c>
      <c r="P7" t="s">
        <v>359</v>
      </c>
      <c r="Q7">
        <v>37.450000000000003</v>
      </c>
      <c r="R7">
        <v>1</v>
      </c>
      <c r="S7">
        <v>-4.0999999999999996</v>
      </c>
    </row>
    <row r="8" spans="1:19" x14ac:dyDescent="0.25">
      <c r="A8">
        <v>7</v>
      </c>
      <c r="B8" s="2">
        <v>44104</v>
      </c>
      <c r="C8">
        <v>2020</v>
      </c>
      <c r="D8" t="s">
        <v>25</v>
      </c>
      <c r="E8" s="2">
        <v>44107</v>
      </c>
      <c r="F8">
        <v>3</v>
      </c>
      <c r="G8" t="s">
        <v>32</v>
      </c>
      <c r="H8" t="s">
        <v>41</v>
      </c>
      <c r="I8" t="s">
        <v>324</v>
      </c>
      <c r="J8" t="s">
        <v>326</v>
      </c>
      <c r="K8" t="s">
        <v>329</v>
      </c>
      <c r="L8" t="s">
        <v>338</v>
      </c>
      <c r="M8" t="s">
        <v>345</v>
      </c>
      <c r="N8" t="s">
        <v>351</v>
      </c>
      <c r="O8" t="s">
        <v>355</v>
      </c>
      <c r="P8" t="s">
        <v>359</v>
      </c>
      <c r="Q8">
        <v>348.5</v>
      </c>
      <c r="R8">
        <v>7</v>
      </c>
      <c r="S8">
        <v>134.44</v>
      </c>
    </row>
    <row r="9" spans="1:19" x14ac:dyDescent="0.25">
      <c r="A9">
        <v>8</v>
      </c>
      <c r="B9" s="2">
        <v>44287</v>
      </c>
      <c r="C9">
        <v>2021</v>
      </c>
      <c r="D9" t="s">
        <v>26</v>
      </c>
      <c r="E9" s="2">
        <v>44297</v>
      </c>
      <c r="F9">
        <v>10</v>
      </c>
      <c r="G9" t="s">
        <v>31</v>
      </c>
      <c r="H9" t="s">
        <v>36</v>
      </c>
      <c r="I9" t="s">
        <v>323</v>
      </c>
      <c r="J9" t="s">
        <v>328</v>
      </c>
      <c r="K9" t="s">
        <v>335</v>
      </c>
      <c r="L9" t="s">
        <v>335</v>
      </c>
      <c r="M9" t="s">
        <v>345</v>
      </c>
      <c r="N9" t="s">
        <v>350</v>
      </c>
      <c r="O9" t="s">
        <v>354</v>
      </c>
      <c r="P9" t="s">
        <v>362</v>
      </c>
      <c r="Q9">
        <v>491.16</v>
      </c>
      <c r="R9">
        <v>8</v>
      </c>
      <c r="S9">
        <v>214.43</v>
      </c>
    </row>
    <row r="10" spans="1:19" x14ac:dyDescent="0.25">
      <c r="A10">
        <v>9</v>
      </c>
      <c r="B10" s="2">
        <v>45063</v>
      </c>
      <c r="C10">
        <v>2023</v>
      </c>
      <c r="D10" t="s">
        <v>19</v>
      </c>
      <c r="E10" s="2">
        <v>45066</v>
      </c>
      <c r="F10">
        <v>3</v>
      </c>
      <c r="G10" t="s">
        <v>34</v>
      </c>
      <c r="H10" t="s">
        <v>42</v>
      </c>
      <c r="I10" t="s">
        <v>325</v>
      </c>
      <c r="J10" t="s">
        <v>326</v>
      </c>
      <c r="K10" t="s">
        <v>331</v>
      </c>
      <c r="L10" t="s">
        <v>340</v>
      </c>
      <c r="M10" t="s">
        <v>347</v>
      </c>
      <c r="N10" t="s">
        <v>350</v>
      </c>
      <c r="O10" t="s">
        <v>353</v>
      </c>
      <c r="P10" t="s">
        <v>361</v>
      </c>
      <c r="Q10">
        <v>356.67</v>
      </c>
      <c r="R10">
        <v>3</v>
      </c>
      <c r="S10">
        <v>159.19</v>
      </c>
    </row>
    <row r="11" spans="1:19" x14ac:dyDescent="0.25">
      <c r="A11">
        <v>10</v>
      </c>
      <c r="B11" s="2">
        <v>44047</v>
      </c>
      <c r="C11">
        <v>2020</v>
      </c>
      <c r="D11" t="s">
        <v>27</v>
      </c>
      <c r="E11" s="2">
        <v>44052</v>
      </c>
      <c r="F11">
        <v>5</v>
      </c>
      <c r="G11" t="s">
        <v>33</v>
      </c>
      <c r="H11" t="s">
        <v>43</v>
      </c>
      <c r="I11" t="s">
        <v>324</v>
      </c>
      <c r="J11" t="s">
        <v>326</v>
      </c>
      <c r="K11" t="s">
        <v>329</v>
      </c>
      <c r="L11" t="s">
        <v>338</v>
      </c>
      <c r="M11" t="s">
        <v>345</v>
      </c>
      <c r="N11" t="s">
        <v>352</v>
      </c>
      <c r="O11" t="s">
        <v>357</v>
      </c>
      <c r="P11" t="s">
        <v>361</v>
      </c>
      <c r="Q11">
        <v>350.26</v>
      </c>
      <c r="R11">
        <v>5</v>
      </c>
      <c r="S11">
        <v>117.02</v>
      </c>
    </row>
    <row r="12" spans="1:19" x14ac:dyDescent="0.25">
      <c r="A12">
        <v>11</v>
      </c>
      <c r="B12" s="2">
        <v>44474</v>
      </c>
      <c r="C12">
        <v>2021</v>
      </c>
      <c r="D12" t="s">
        <v>22</v>
      </c>
      <c r="E12" s="2">
        <v>44477</v>
      </c>
      <c r="F12">
        <v>3</v>
      </c>
      <c r="G12" t="s">
        <v>33</v>
      </c>
      <c r="H12" t="s">
        <v>44</v>
      </c>
      <c r="I12" t="s">
        <v>325</v>
      </c>
      <c r="J12" t="s">
        <v>326</v>
      </c>
      <c r="K12" t="s">
        <v>333</v>
      </c>
      <c r="L12" t="s">
        <v>342</v>
      </c>
      <c r="M12" t="s">
        <v>345</v>
      </c>
      <c r="N12" t="s">
        <v>350</v>
      </c>
      <c r="O12" t="s">
        <v>353</v>
      </c>
      <c r="P12" t="s">
        <v>362</v>
      </c>
      <c r="Q12">
        <v>465.44</v>
      </c>
      <c r="R12">
        <v>1</v>
      </c>
      <c r="S12">
        <v>-133.88999999999999</v>
      </c>
    </row>
    <row r="13" spans="1:19" x14ac:dyDescent="0.25">
      <c r="A13">
        <v>12</v>
      </c>
      <c r="B13" s="2">
        <v>44253</v>
      </c>
      <c r="C13">
        <v>2021</v>
      </c>
      <c r="D13" t="s">
        <v>28</v>
      </c>
      <c r="E13" s="2">
        <v>44258</v>
      </c>
      <c r="F13">
        <v>5</v>
      </c>
      <c r="G13" t="s">
        <v>33</v>
      </c>
      <c r="H13" t="s">
        <v>45</v>
      </c>
      <c r="I13" t="s">
        <v>324</v>
      </c>
      <c r="J13" t="s">
        <v>328</v>
      </c>
      <c r="K13" t="s">
        <v>336</v>
      </c>
      <c r="L13" t="s">
        <v>343</v>
      </c>
      <c r="M13" t="s">
        <v>347</v>
      </c>
      <c r="N13" t="s">
        <v>351</v>
      </c>
      <c r="O13" t="s">
        <v>356</v>
      </c>
      <c r="P13" t="s">
        <v>359</v>
      </c>
      <c r="Q13">
        <v>116.73</v>
      </c>
      <c r="R13">
        <v>6</v>
      </c>
      <c r="S13">
        <v>46.1</v>
      </c>
    </row>
    <row r="14" spans="1:19" x14ac:dyDescent="0.25">
      <c r="A14">
        <v>13</v>
      </c>
      <c r="B14" s="2">
        <v>44768</v>
      </c>
      <c r="C14">
        <v>2022</v>
      </c>
      <c r="D14" t="s">
        <v>20</v>
      </c>
      <c r="E14" s="2">
        <v>44777</v>
      </c>
      <c r="F14">
        <v>9</v>
      </c>
      <c r="G14" t="s">
        <v>32</v>
      </c>
      <c r="H14" t="s">
        <v>46</v>
      </c>
      <c r="I14" t="s">
        <v>325</v>
      </c>
      <c r="J14" t="s">
        <v>328</v>
      </c>
      <c r="K14" t="s">
        <v>336</v>
      </c>
      <c r="L14" t="s">
        <v>343</v>
      </c>
      <c r="M14" t="s">
        <v>347</v>
      </c>
      <c r="N14" t="s">
        <v>352</v>
      </c>
      <c r="O14" t="s">
        <v>357</v>
      </c>
      <c r="P14" t="s">
        <v>361</v>
      </c>
      <c r="Q14">
        <v>84.7</v>
      </c>
      <c r="R14">
        <v>3</v>
      </c>
      <c r="S14">
        <v>37.32</v>
      </c>
    </row>
    <row r="15" spans="1:19" x14ac:dyDescent="0.25">
      <c r="A15">
        <v>14</v>
      </c>
      <c r="B15" s="2">
        <v>44176</v>
      </c>
      <c r="C15">
        <v>2020</v>
      </c>
      <c r="D15" t="s">
        <v>29</v>
      </c>
      <c r="E15" s="2">
        <v>44178</v>
      </c>
      <c r="F15">
        <v>2</v>
      </c>
      <c r="G15" t="s">
        <v>33</v>
      </c>
      <c r="H15" t="s">
        <v>47</v>
      </c>
      <c r="I15" t="s">
        <v>324</v>
      </c>
      <c r="J15" t="s">
        <v>326</v>
      </c>
      <c r="K15" t="s">
        <v>329</v>
      </c>
      <c r="L15" t="s">
        <v>338</v>
      </c>
      <c r="M15" t="s">
        <v>345</v>
      </c>
      <c r="N15" t="s">
        <v>352</v>
      </c>
      <c r="O15" t="s">
        <v>358</v>
      </c>
      <c r="P15" t="s">
        <v>359</v>
      </c>
      <c r="Q15">
        <v>475.28</v>
      </c>
      <c r="R15">
        <v>9</v>
      </c>
      <c r="S15">
        <v>-10.89</v>
      </c>
    </row>
    <row r="16" spans="1:19" x14ac:dyDescent="0.25">
      <c r="A16">
        <v>15</v>
      </c>
      <c r="B16" s="2">
        <v>45151</v>
      </c>
      <c r="C16">
        <v>2023</v>
      </c>
      <c r="D16" t="s">
        <v>27</v>
      </c>
      <c r="E16" s="2">
        <v>45157</v>
      </c>
      <c r="F16">
        <v>6</v>
      </c>
      <c r="G16" t="s">
        <v>33</v>
      </c>
      <c r="H16" t="s">
        <v>42</v>
      </c>
      <c r="I16" t="s">
        <v>323</v>
      </c>
      <c r="J16" t="s">
        <v>328</v>
      </c>
      <c r="K16" t="s">
        <v>332</v>
      </c>
      <c r="L16" t="s">
        <v>341</v>
      </c>
      <c r="M16" t="s">
        <v>348</v>
      </c>
      <c r="N16" t="s">
        <v>352</v>
      </c>
      <c r="O16" t="s">
        <v>357</v>
      </c>
      <c r="P16" t="s">
        <v>360</v>
      </c>
      <c r="Q16">
        <v>87.7</v>
      </c>
      <c r="R16">
        <v>2</v>
      </c>
      <c r="S16">
        <v>43.43</v>
      </c>
    </row>
    <row r="17" spans="1:19" x14ac:dyDescent="0.25">
      <c r="A17">
        <v>16</v>
      </c>
      <c r="B17" s="2">
        <v>45421</v>
      </c>
      <c r="C17">
        <v>2024</v>
      </c>
      <c r="D17" t="s">
        <v>19</v>
      </c>
      <c r="E17" s="2">
        <v>45426</v>
      </c>
      <c r="F17">
        <v>5</v>
      </c>
      <c r="G17" t="s">
        <v>33</v>
      </c>
      <c r="H17" t="s">
        <v>48</v>
      </c>
      <c r="I17" t="s">
        <v>323</v>
      </c>
      <c r="J17" t="s">
        <v>327</v>
      </c>
      <c r="K17" t="s">
        <v>337</v>
      </c>
      <c r="L17" t="s">
        <v>344</v>
      </c>
      <c r="M17" t="s">
        <v>347</v>
      </c>
      <c r="N17" t="s">
        <v>350</v>
      </c>
      <c r="O17" t="s">
        <v>354</v>
      </c>
      <c r="P17" t="s">
        <v>359</v>
      </c>
      <c r="Q17">
        <v>357.82</v>
      </c>
      <c r="R17">
        <v>3</v>
      </c>
      <c r="S17">
        <v>18.02</v>
      </c>
    </row>
    <row r="18" spans="1:19" x14ac:dyDescent="0.25">
      <c r="A18">
        <v>17</v>
      </c>
      <c r="B18" s="2">
        <v>45327</v>
      </c>
      <c r="C18">
        <v>2024</v>
      </c>
      <c r="D18" t="s">
        <v>28</v>
      </c>
      <c r="E18" s="2">
        <v>45337</v>
      </c>
      <c r="F18">
        <v>10</v>
      </c>
      <c r="G18" t="s">
        <v>32</v>
      </c>
      <c r="H18" t="s">
        <v>38</v>
      </c>
      <c r="I18" t="s">
        <v>324</v>
      </c>
      <c r="J18" t="s">
        <v>326</v>
      </c>
      <c r="K18" t="s">
        <v>329</v>
      </c>
      <c r="L18" t="s">
        <v>338</v>
      </c>
      <c r="M18" t="s">
        <v>345</v>
      </c>
      <c r="N18" t="s">
        <v>351</v>
      </c>
      <c r="O18" t="s">
        <v>355</v>
      </c>
      <c r="P18" t="s">
        <v>362</v>
      </c>
      <c r="Q18">
        <v>422.01</v>
      </c>
      <c r="R18">
        <v>6</v>
      </c>
      <c r="S18">
        <v>-99.09</v>
      </c>
    </row>
    <row r="19" spans="1:19" x14ac:dyDescent="0.25">
      <c r="A19">
        <v>18</v>
      </c>
      <c r="B19" s="2">
        <v>44523</v>
      </c>
      <c r="C19">
        <v>2021</v>
      </c>
      <c r="D19" t="s">
        <v>30</v>
      </c>
      <c r="E19" s="2">
        <v>44527</v>
      </c>
      <c r="F19">
        <v>4</v>
      </c>
      <c r="G19" t="s">
        <v>34</v>
      </c>
      <c r="H19" t="s">
        <v>49</v>
      </c>
      <c r="I19" t="s">
        <v>323</v>
      </c>
      <c r="J19" t="s">
        <v>326</v>
      </c>
      <c r="K19" t="s">
        <v>329</v>
      </c>
      <c r="L19" t="s">
        <v>338</v>
      </c>
      <c r="M19" t="s">
        <v>345</v>
      </c>
      <c r="N19" t="s">
        <v>352</v>
      </c>
      <c r="O19" t="s">
        <v>358</v>
      </c>
      <c r="P19" t="s">
        <v>361</v>
      </c>
      <c r="Q19">
        <v>55.33</v>
      </c>
      <c r="R19">
        <v>7</v>
      </c>
      <c r="S19">
        <v>5.95</v>
      </c>
    </row>
    <row r="20" spans="1:19" x14ac:dyDescent="0.25">
      <c r="A20">
        <v>19</v>
      </c>
      <c r="B20" s="2">
        <v>45207</v>
      </c>
      <c r="C20">
        <v>2023</v>
      </c>
      <c r="D20" t="s">
        <v>22</v>
      </c>
      <c r="E20" s="2">
        <v>45209</v>
      </c>
      <c r="F20">
        <v>2</v>
      </c>
      <c r="G20" t="s">
        <v>33</v>
      </c>
      <c r="H20" t="s">
        <v>50</v>
      </c>
      <c r="I20" t="s">
        <v>325</v>
      </c>
      <c r="J20" t="s">
        <v>327</v>
      </c>
      <c r="K20" t="s">
        <v>334</v>
      </c>
      <c r="L20" t="s">
        <v>334</v>
      </c>
      <c r="M20" t="s">
        <v>349</v>
      </c>
      <c r="N20" t="s">
        <v>351</v>
      </c>
      <c r="O20" t="s">
        <v>356</v>
      </c>
      <c r="P20" t="s">
        <v>359</v>
      </c>
      <c r="Q20">
        <v>206.52</v>
      </c>
      <c r="R20">
        <v>9</v>
      </c>
      <c r="S20">
        <v>102.01</v>
      </c>
    </row>
    <row r="21" spans="1:19" x14ac:dyDescent="0.25">
      <c r="A21">
        <v>20</v>
      </c>
      <c r="B21" s="2">
        <v>44850</v>
      </c>
      <c r="C21">
        <v>2022</v>
      </c>
      <c r="D21" t="s">
        <v>22</v>
      </c>
      <c r="E21" s="2">
        <v>44860</v>
      </c>
      <c r="F21">
        <v>10</v>
      </c>
      <c r="G21" t="s">
        <v>31</v>
      </c>
      <c r="H21" t="s">
        <v>51</v>
      </c>
      <c r="I21" t="s">
        <v>325</v>
      </c>
      <c r="J21" t="s">
        <v>328</v>
      </c>
      <c r="K21" t="s">
        <v>336</v>
      </c>
      <c r="L21" t="s">
        <v>343</v>
      </c>
      <c r="M21" t="s">
        <v>347</v>
      </c>
      <c r="N21" t="s">
        <v>352</v>
      </c>
      <c r="O21" t="s">
        <v>358</v>
      </c>
      <c r="P21" t="s">
        <v>362</v>
      </c>
      <c r="Q21">
        <v>97.37</v>
      </c>
      <c r="R21">
        <v>7</v>
      </c>
      <c r="S21">
        <v>28.06</v>
      </c>
    </row>
    <row r="22" spans="1:19" x14ac:dyDescent="0.25">
      <c r="A22">
        <v>21</v>
      </c>
      <c r="B22" s="2">
        <v>45437</v>
      </c>
      <c r="C22">
        <v>2024</v>
      </c>
      <c r="D22" t="s">
        <v>19</v>
      </c>
      <c r="E22" s="2">
        <v>45438</v>
      </c>
      <c r="F22">
        <v>1</v>
      </c>
      <c r="G22" t="s">
        <v>34</v>
      </c>
      <c r="H22" t="s">
        <v>52</v>
      </c>
      <c r="I22" t="s">
        <v>323</v>
      </c>
      <c r="J22" t="s">
        <v>328</v>
      </c>
      <c r="K22" t="s">
        <v>335</v>
      </c>
      <c r="L22" t="s">
        <v>335</v>
      </c>
      <c r="M22" t="s">
        <v>345</v>
      </c>
      <c r="N22" t="s">
        <v>350</v>
      </c>
      <c r="O22" t="s">
        <v>353</v>
      </c>
      <c r="P22" t="s">
        <v>359</v>
      </c>
      <c r="Q22">
        <v>327.75</v>
      </c>
      <c r="R22">
        <v>7</v>
      </c>
      <c r="S22">
        <v>-4.25</v>
      </c>
    </row>
    <row r="23" spans="1:19" x14ac:dyDescent="0.25">
      <c r="A23">
        <v>22</v>
      </c>
      <c r="B23" s="2">
        <v>44411</v>
      </c>
      <c r="C23">
        <v>2021</v>
      </c>
      <c r="D23" t="s">
        <v>27</v>
      </c>
      <c r="E23" s="2">
        <v>44418</v>
      </c>
      <c r="F23">
        <v>7</v>
      </c>
      <c r="G23" t="s">
        <v>34</v>
      </c>
      <c r="H23" t="s">
        <v>53</v>
      </c>
      <c r="I23" t="s">
        <v>325</v>
      </c>
      <c r="J23" t="s">
        <v>328</v>
      </c>
      <c r="K23" t="s">
        <v>332</v>
      </c>
      <c r="L23" t="s">
        <v>341</v>
      </c>
      <c r="M23" t="s">
        <v>348</v>
      </c>
      <c r="N23" t="s">
        <v>350</v>
      </c>
      <c r="O23" t="s">
        <v>354</v>
      </c>
      <c r="P23" t="s">
        <v>359</v>
      </c>
      <c r="Q23">
        <v>415.38</v>
      </c>
      <c r="R23">
        <v>1</v>
      </c>
      <c r="S23">
        <v>205.57</v>
      </c>
    </row>
    <row r="24" spans="1:19" x14ac:dyDescent="0.25">
      <c r="A24">
        <v>23</v>
      </c>
      <c r="B24" s="2">
        <v>45260</v>
      </c>
      <c r="C24">
        <v>2023</v>
      </c>
      <c r="D24" t="s">
        <v>30</v>
      </c>
      <c r="E24" s="2">
        <v>45264</v>
      </c>
      <c r="F24">
        <v>4</v>
      </c>
      <c r="G24" t="s">
        <v>34</v>
      </c>
      <c r="H24" t="s">
        <v>54</v>
      </c>
      <c r="I24" t="s">
        <v>325</v>
      </c>
      <c r="J24" t="s">
        <v>328</v>
      </c>
      <c r="K24" t="s">
        <v>336</v>
      </c>
      <c r="L24" t="s">
        <v>343</v>
      </c>
      <c r="M24" t="s">
        <v>347</v>
      </c>
      <c r="N24" t="s">
        <v>350</v>
      </c>
      <c r="O24" t="s">
        <v>353</v>
      </c>
      <c r="P24" t="s">
        <v>359</v>
      </c>
      <c r="Q24">
        <v>160.69</v>
      </c>
      <c r="R24">
        <v>5</v>
      </c>
      <c r="S24">
        <v>-8.25</v>
      </c>
    </row>
    <row r="25" spans="1:19" x14ac:dyDescent="0.25">
      <c r="A25">
        <v>24</v>
      </c>
      <c r="B25" s="2">
        <v>44249</v>
      </c>
      <c r="C25">
        <v>2021</v>
      </c>
      <c r="D25" t="s">
        <v>28</v>
      </c>
      <c r="E25" s="2">
        <v>44253</v>
      </c>
      <c r="F25">
        <v>4</v>
      </c>
      <c r="G25" t="s">
        <v>32</v>
      </c>
      <c r="H25" t="s">
        <v>55</v>
      </c>
      <c r="I25" t="s">
        <v>324</v>
      </c>
      <c r="J25" t="s">
        <v>328</v>
      </c>
      <c r="K25" t="s">
        <v>332</v>
      </c>
      <c r="L25" t="s">
        <v>341</v>
      </c>
      <c r="M25" t="s">
        <v>348</v>
      </c>
      <c r="N25" t="s">
        <v>350</v>
      </c>
      <c r="O25" t="s">
        <v>354</v>
      </c>
      <c r="P25" t="s">
        <v>361</v>
      </c>
      <c r="Q25">
        <v>137.09</v>
      </c>
      <c r="R25">
        <v>10</v>
      </c>
      <c r="S25">
        <v>51.21</v>
      </c>
    </row>
    <row r="26" spans="1:19" x14ac:dyDescent="0.25">
      <c r="A26">
        <v>25</v>
      </c>
      <c r="B26" s="2">
        <v>46019</v>
      </c>
      <c r="C26">
        <v>2025</v>
      </c>
      <c r="D26" t="s">
        <v>29</v>
      </c>
      <c r="E26" s="2">
        <v>46026</v>
      </c>
      <c r="F26">
        <v>7</v>
      </c>
      <c r="G26" t="s">
        <v>33</v>
      </c>
      <c r="H26" t="s">
        <v>56</v>
      </c>
      <c r="I26" t="s">
        <v>325</v>
      </c>
      <c r="J26" t="s">
        <v>326</v>
      </c>
      <c r="K26" t="s">
        <v>333</v>
      </c>
      <c r="L26" t="s">
        <v>342</v>
      </c>
      <c r="M26" t="s">
        <v>345</v>
      </c>
      <c r="N26" t="s">
        <v>352</v>
      </c>
      <c r="O26" t="s">
        <v>358</v>
      </c>
      <c r="P26" t="s">
        <v>361</v>
      </c>
      <c r="Q26">
        <v>335.78</v>
      </c>
      <c r="R26">
        <v>10</v>
      </c>
      <c r="S26">
        <v>100.06</v>
      </c>
    </row>
    <row r="27" spans="1:19" x14ac:dyDescent="0.25">
      <c r="A27">
        <v>26</v>
      </c>
      <c r="B27" s="2">
        <v>45348</v>
      </c>
      <c r="C27">
        <v>2024</v>
      </c>
      <c r="D27" t="s">
        <v>28</v>
      </c>
      <c r="E27" s="2">
        <v>45354</v>
      </c>
      <c r="F27">
        <v>6</v>
      </c>
      <c r="G27" t="s">
        <v>34</v>
      </c>
      <c r="H27" t="s">
        <v>41</v>
      </c>
      <c r="I27" t="s">
        <v>324</v>
      </c>
      <c r="J27" t="s">
        <v>326</v>
      </c>
      <c r="K27" t="s">
        <v>333</v>
      </c>
      <c r="L27" t="s">
        <v>342</v>
      </c>
      <c r="M27" t="s">
        <v>345</v>
      </c>
      <c r="N27" t="s">
        <v>351</v>
      </c>
      <c r="O27" t="s">
        <v>355</v>
      </c>
      <c r="P27" t="s">
        <v>361</v>
      </c>
      <c r="Q27">
        <v>476.62</v>
      </c>
      <c r="R27">
        <v>9</v>
      </c>
      <c r="S27">
        <v>166.15</v>
      </c>
    </row>
    <row r="28" spans="1:19" x14ac:dyDescent="0.25">
      <c r="A28">
        <v>27</v>
      </c>
      <c r="B28" s="2">
        <v>44851</v>
      </c>
      <c r="C28">
        <v>2022</v>
      </c>
      <c r="D28" t="s">
        <v>22</v>
      </c>
      <c r="E28" s="2">
        <v>44861</v>
      </c>
      <c r="F28">
        <v>10</v>
      </c>
      <c r="G28" t="s">
        <v>32</v>
      </c>
      <c r="H28" t="s">
        <v>57</v>
      </c>
      <c r="I28" t="s">
        <v>325</v>
      </c>
      <c r="J28" t="s">
        <v>327</v>
      </c>
      <c r="K28" t="s">
        <v>337</v>
      </c>
      <c r="L28" t="s">
        <v>344</v>
      </c>
      <c r="M28" t="s">
        <v>347</v>
      </c>
      <c r="N28" t="s">
        <v>351</v>
      </c>
      <c r="O28" t="s">
        <v>355</v>
      </c>
      <c r="P28" t="s">
        <v>359</v>
      </c>
      <c r="Q28">
        <v>395.59</v>
      </c>
      <c r="R28">
        <v>7</v>
      </c>
      <c r="S28">
        <v>-108.16</v>
      </c>
    </row>
    <row r="29" spans="1:19" x14ac:dyDescent="0.25">
      <c r="A29">
        <v>28</v>
      </c>
      <c r="B29" s="2">
        <v>43944</v>
      </c>
      <c r="C29">
        <v>2020</v>
      </c>
      <c r="D29" t="s">
        <v>26</v>
      </c>
      <c r="E29" s="2">
        <v>43949</v>
      </c>
      <c r="F29">
        <v>5</v>
      </c>
      <c r="G29" t="s">
        <v>31</v>
      </c>
      <c r="H29" t="s">
        <v>58</v>
      </c>
      <c r="I29" t="s">
        <v>323</v>
      </c>
      <c r="J29" t="s">
        <v>326</v>
      </c>
      <c r="K29" t="s">
        <v>333</v>
      </c>
      <c r="L29" t="s">
        <v>342</v>
      </c>
      <c r="M29" t="s">
        <v>345</v>
      </c>
      <c r="N29" t="s">
        <v>350</v>
      </c>
      <c r="O29" t="s">
        <v>354</v>
      </c>
      <c r="P29" t="s">
        <v>360</v>
      </c>
      <c r="Q29">
        <v>349.19</v>
      </c>
      <c r="R29">
        <v>4</v>
      </c>
      <c r="S29">
        <v>-46</v>
      </c>
    </row>
    <row r="30" spans="1:19" x14ac:dyDescent="0.25">
      <c r="A30">
        <v>29</v>
      </c>
      <c r="B30" s="2">
        <v>44086</v>
      </c>
      <c r="C30">
        <v>2020</v>
      </c>
      <c r="D30" t="s">
        <v>25</v>
      </c>
      <c r="E30" s="2">
        <v>44096</v>
      </c>
      <c r="F30">
        <v>10</v>
      </c>
      <c r="G30" t="s">
        <v>34</v>
      </c>
      <c r="H30" t="s">
        <v>59</v>
      </c>
      <c r="I30" t="s">
        <v>323</v>
      </c>
      <c r="J30" t="s">
        <v>327</v>
      </c>
      <c r="K30" t="s">
        <v>334</v>
      </c>
      <c r="L30" t="s">
        <v>334</v>
      </c>
      <c r="M30" t="s">
        <v>349</v>
      </c>
      <c r="N30" t="s">
        <v>351</v>
      </c>
      <c r="O30" t="s">
        <v>356</v>
      </c>
      <c r="P30" t="s">
        <v>361</v>
      </c>
      <c r="Q30">
        <v>81.93</v>
      </c>
      <c r="R30">
        <v>5</v>
      </c>
      <c r="S30">
        <v>26.05</v>
      </c>
    </row>
    <row r="31" spans="1:19" x14ac:dyDescent="0.25">
      <c r="A31">
        <v>30</v>
      </c>
      <c r="B31" s="2">
        <v>44409</v>
      </c>
      <c r="C31">
        <v>2021</v>
      </c>
      <c r="D31" t="s">
        <v>27</v>
      </c>
      <c r="E31" s="2">
        <v>44413</v>
      </c>
      <c r="F31">
        <v>4</v>
      </c>
      <c r="G31" t="s">
        <v>33</v>
      </c>
      <c r="H31" t="s">
        <v>60</v>
      </c>
      <c r="I31" t="s">
        <v>324</v>
      </c>
      <c r="J31" t="s">
        <v>328</v>
      </c>
      <c r="K31" t="s">
        <v>335</v>
      </c>
      <c r="L31" t="s">
        <v>335</v>
      </c>
      <c r="M31" t="s">
        <v>345</v>
      </c>
      <c r="N31" t="s">
        <v>351</v>
      </c>
      <c r="O31" t="s">
        <v>356</v>
      </c>
      <c r="P31" t="s">
        <v>362</v>
      </c>
      <c r="Q31">
        <v>223.71</v>
      </c>
      <c r="R31">
        <v>5</v>
      </c>
      <c r="S31">
        <v>-12.32</v>
      </c>
    </row>
    <row r="32" spans="1:19" x14ac:dyDescent="0.25">
      <c r="A32">
        <v>31</v>
      </c>
      <c r="B32" s="2">
        <v>44388</v>
      </c>
      <c r="C32">
        <v>2021</v>
      </c>
      <c r="D32" t="s">
        <v>20</v>
      </c>
      <c r="E32" s="2">
        <v>44395</v>
      </c>
      <c r="F32">
        <v>7</v>
      </c>
      <c r="G32" t="s">
        <v>34</v>
      </c>
      <c r="H32" t="s">
        <v>61</v>
      </c>
      <c r="I32" t="s">
        <v>325</v>
      </c>
      <c r="J32" t="s">
        <v>327</v>
      </c>
      <c r="K32" t="s">
        <v>337</v>
      </c>
      <c r="L32" t="s">
        <v>344</v>
      </c>
      <c r="M32" t="s">
        <v>347</v>
      </c>
      <c r="N32" t="s">
        <v>350</v>
      </c>
      <c r="O32" t="s">
        <v>354</v>
      </c>
      <c r="P32" t="s">
        <v>361</v>
      </c>
      <c r="Q32">
        <v>473.61</v>
      </c>
      <c r="R32">
        <v>9</v>
      </c>
      <c r="S32">
        <v>-94.62</v>
      </c>
    </row>
    <row r="33" spans="1:19" x14ac:dyDescent="0.25">
      <c r="A33">
        <v>32</v>
      </c>
      <c r="B33" s="2">
        <v>45935</v>
      </c>
      <c r="C33">
        <v>2025</v>
      </c>
      <c r="D33" t="s">
        <v>22</v>
      </c>
      <c r="E33" s="2">
        <v>45940</v>
      </c>
      <c r="F33">
        <v>5</v>
      </c>
      <c r="G33" t="s">
        <v>31</v>
      </c>
      <c r="H33" t="s">
        <v>62</v>
      </c>
      <c r="I33" t="s">
        <v>325</v>
      </c>
      <c r="J33" t="s">
        <v>327</v>
      </c>
      <c r="K33" t="s">
        <v>334</v>
      </c>
      <c r="L33" t="s">
        <v>334</v>
      </c>
      <c r="M33" t="s">
        <v>349</v>
      </c>
      <c r="N33" t="s">
        <v>351</v>
      </c>
      <c r="O33" t="s">
        <v>356</v>
      </c>
      <c r="P33" t="s">
        <v>360</v>
      </c>
      <c r="Q33">
        <v>196.39</v>
      </c>
      <c r="R33">
        <v>5</v>
      </c>
      <c r="S33">
        <v>-7.69</v>
      </c>
    </row>
    <row r="34" spans="1:19" x14ac:dyDescent="0.25">
      <c r="A34">
        <v>33</v>
      </c>
      <c r="B34" s="2">
        <v>45597</v>
      </c>
      <c r="C34">
        <v>2024</v>
      </c>
      <c r="D34" t="s">
        <v>30</v>
      </c>
      <c r="E34" s="2">
        <v>45607</v>
      </c>
      <c r="F34">
        <v>10</v>
      </c>
      <c r="G34" t="s">
        <v>33</v>
      </c>
      <c r="H34" t="s">
        <v>63</v>
      </c>
      <c r="I34" t="s">
        <v>325</v>
      </c>
      <c r="J34" t="s">
        <v>328</v>
      </c>
      <c r="K34" t="s">
        <v>336</v>
      </c>
      <c r="L34" t="s">
        <v>343</v>
      </c>
      <c r="M34" t="s">
        <v>347</v>
      </c>
      <c r="N34" t="s">
        <v>352</v>
      </c>
      <c r="O34" t="s">
        <v>357</v>
      </c>
      <c r="P34" t="s">
        <v>359</v>
      </c>
      <c r="Q34">
        <v>448.39</v>
      </c>
      <c r="R34">
        <v>4</v>
      </c>
      <c r="S34">
        <v>-73.91</v>
      </c>
    </row>
    <row r="35" spans="1:19" x14ac:dyDescent="0.25">
      <c r="A35">
        <v>34</v>
      </c>
      <c r="B35" s="2">
        <v>45924</v>
      </c>
      <c r="C35">
        <v>2025</v>
      </c>
      <c r="D35" t="s">
        <v>25</v>
      </c>
      <c r="E35" s="2">
        <v>45930</v>
      </c>
      <c r="F35">
        <v>6</v>
      </c>
      <c r="G35" t="s">
        <v>33</v>
      </c>
      <c r="H35" t="s">
        <v>64</v>
      </c>
      <c r="I35" t="s">
        <v>323</v>
      </c>
      <c r="J35" t="s">
        <v>328</v>
      </c>
      <c r="K35" t="s">
        <v>335</v>
      </c>
      <c r="L35" t="s">
        <v>335</v>
      </c>
      <c r="M35" t="s">
        <v>345</v>
      </c>
      <c r="N35" t="s">
        <v>351</v>
      </c>
      <c r="O35" t="s">
        <v>355</v>
      </c>
      <c r="P35" t="s">
        <v>361</v>
      </c>
      <c r="Q35">
        <v>182.03</v>
      </c>
      <c r="R35">
        <v>5</v>
      </c>
      <c r="S35">
        <v>22.01</v>
      </c>
    </row>
    <row r="36" spans="1:19" x14ac:dyDescent="0.25">
      <c r="A36">
        <v>35</v>
      </c>
      <c r="B36" s="2">
        <v>44235</v>
      </c>
      <c r="C36">
        <v>2021</v>
      </c>
      <c r="D36" t="s">
        <v>28</v>
      </c>
      <c r="E36" s="2">
        <v>44245</v>
      </c>
      <c r="F36">
        <v>10</v>
      </c>
      <c r="G36" t="s">
        <v>32</v>
      </c>
      <c r="H36" t="s">
        <v>65</v>
      </c>
      <c r="I36" t="s">
        <v>323</v>
      </c>
      <c r="J36" t="s">
        <v>328</v>
      </c>
      <c r="K36" t="s">
        <v>336</v>
      </c>
      <c r="L36" t="s">
        <v>343</v>
      </c>
      <c r="M36" t="s">
        <v>347</v>
      </c>
      <c r="N36" t="s">
        <v>350</v>
      </c>
      <c r="O36" t="s">
        <v>354</v>
      </c>
      <c r="P36" t="s">
        <v>361</v>
      </c>
      <c r="Q36">
        <v>20.2</v>
      </c>
      <c r="R36">
        <v>10</v>
      </c>
      <c r="S36">
        <v>3.2</v>
      </c>
    </row>
    <row r="37" spans="1:19" x14ac:dyDescent="0.25">
      <c r="A37">
        <v>36</v>
      </c>
      <c r="B37" s="2">
        <v>44111</v>
      </c>
      <c r="C37">
        <v>2020</v>
      </c>
      <c r="D37" t="s">
        <v>22</v>
      </c>
      <c r="E37" s="2">
        <v>44116</v>
      </c>
      <c r="F37">
        <v>5</v>
      </c>
      <c r="G37" t="s">
        <v>34</v>
      </c>
      <c r="H37" t="s">
        <v>66</v>
      </c>
      <c r="I37" t="s">
        <v>323</v>
      </c>
      <c r="J37" t="s">
        <v>326</v>
      </c>
      <c r="K37" t="s">
        <v>333</v>
      </c>
      <c r="L37" t="s">
        <v>342</v>
      </c>
      <c r="M37" t="s">
        <v>345</v>
      </c>
      <c r="N37" t="s">
        <v>351</v>
      </c>
      <c r="O37" t="s">
        <v>356</v>
      </c>
      <c r="P37" t="s">
        <v>362</v>
      </c>
      <c r="Q37">
        <v>178.37</v>
      </c>
      <c r="R37">
        <v>9</v>
      </c>
      <c r="S37">
        <v>-44.07</v>
      </c>
    </row>
    <row r="38" spans="1:19" x14ac:dyDescent="0.25">
      <c r="A38">
        <v>37</v>
      </c>
      <c r="B38" s="2">
        <v>44542</v>
      </c>
      <c r="C38">
        <v>2021</v>
      </c>
      <c r="D38" t="s">
        <v>29</v>
      </c>
      <c r="E38" s="2">
        <v>44551</v>
      </c>
      <c r="F38">
        <v>9</v>
      </c>
      <c r="G38" t="s">
        <v>33</v>
      </c>
      <c r="H38" t="s">
        <v>67</v>
      </c>
      <c r="I38" t="s">
        <v>323</v>
      </c>
      <c r="J38" t="s">
        <v>327</v>
      </c>
      <c r="K38" t="s">
        <v>337</v>
      </c>
      <c r="L38" t="s">
        <v>344</v>
      </c>
      <c r="M38" t="s">
        <v>347</v>
      </c>
      <c r="N38" t="s">
        <v>351</v>
      </c>
      <c r="O38" t="s">
        <v>355</v>
      </c>
      <c r="P38" t="s">
        <v>360</v>
      </c>
      <c r="Q38">
        <v>113.92</v>
      </c>
      <c r="R38">
        <v>3</v>
      </c>
      <c r="S38">
        <v>-15.88</v>
      </c>
    </row>
    <row r="39" spans="1:19" x14ac:dyDescent="0.25">
      <c r="A39">
        <v>38</v>
      </c>
      <c r="B39" s="2">
        <v>46004</v>
      </c>
      <c r="C39">
        <v>2025</v>
      </c>
      <c r="D39" t="s">
        <v>29</v>
      </c>
      <c r="E39" s="2">
        <v>46013</v>
      </c>
      <c r="F39">
        <v>9</v>
      </c>
      <c r="G39" t="s">
        <v>31</v>
      </c>
      <c r="H39" t="s">
        <v>68</v>
      </c>
      <c r="I39" t="s">
        <v>325</v>
      </c>
      <c r="J39" t="s">
        <v>327</v>
      </c>
      <c r="K39" t="s">
        <v>334</v>
      </c>
      <c r="L39" t="s">
        <v>334</v>
      </c>
      <c r="M39" t="s">
        <v>349</v>
      </c>
      <c r="N39" t="s">
        <v>352</v>
      </c>
      <c r="O39" t="s">
        <v>358</v>
      </c>
      <c r="P39" t="s">
        <v>362</v>
      </c>
      <c r="Q39">
        <v>73.58</v>
      </c>
      <c r="R39">
        <v>2</v>
      </c>
      <c r="S39">
        <v>-14.03</v>
      </c>
    </row>
    <row r="40" spans="1:19" x14ac:dyDescent="0.25">
      <c r="A40">
        <v>39</v>
      </c>
      <c r="B40" s="2">
        <v>43993</v>
      </c>
      <c r="C40">
        <v>2020</v>
      </c>
      <c r="D40" t="s">
        <v>21</v>
      </c>
      <c r="E40" s="2">
        <v>43997</v>
      </c>
      <c r="F40">
        <v>4</v>
      </c>
      <c r="G40" t="s">
        <v>33</v>
      </c>
      <c r="H40" t="s">
        <v>69</v>
      </c>
      <c r="I40" t="s">
        <v>323</v>
      </c>
      <c r="J40" t="s">
        <v>326</v>
      </c>
      <c r="K40" t="s">
        <v>333</v>
      </c>
      <c r="L40" t="s">
        <v>342</v>
      </c>
      <c r="M40" t="s">
        <v>345</v>
      </c>
      <c r="N40" t="s">
        <v>351</v>
      </c>
      <c r="O40" t="s">
        <v>356</v>
      </c>
      <c r="P40" t="s">
        <v>359</v>
      </c>
      <c r="Q40">
        <v>455.96</v>
      </c>
      <c r="R40">
        <v>6</v>
      </c>
      <c r="S40">
        <v>-113.1</v>
      </c>
    </row>
    <row r="41" spans="1:19" x14ac:dyDescent="0.25">
      <c r="A41">
        <v>40</v>
      </c>
      <c r="B41" s="2">
        <v>45867</v>
      </c>
      <c r="C41">
        <v>2025</v>
      </c>
      <c r="D41" t="s">
        <v>20</v>
      </c>
      <c r="E41" s="2">
        <v>45872</v>
      </c>
      <c r="F41">
        <v>5</v>
      </c>
      <c r="G41" t="s">
        <v>33</v>
      </c>
      <c r="H41" t="s">
        <v>70</v>
      </c>
      <c r="I41" t="s">
        <v>323</v>
      </c>
      <c r="J41" t="s">
        <v>328</v>
      </c>
      <c r="K41" t="s">
        <v>332</v>
      </c>
      <c r="L41" t="s">
        <v>341</v>
      </c>
      <c r="M41" t="s">
        <v>348</v>
      </c>
      <c r="N41" t="s">
        <v>352</v>
      </c>
      <c r="O41" t="s">
        <v>358</v>
      </c>
      <c r="P41" t="s">
        <v>362</v>
      </c>
      <c r="Q41">
        <v>92.75</v>
      </c>
      <c r="R41">
        <v>7</v>
      </c>
      <c r="S41">
        <v>-23.51</v>
      </c>
    </row>
    <row r="42" spans="1:19" x14ac:dyDescent="0.25">
      <c r="A42">
        <v>41</v>
      </c>
      <c r="B42" s="2">
        <v>44443</v>
      </c>
      <c r="C42">
        <v>2021</v>
      </c>
      <c r="D42" t="s">
        <v>25</v>
      </c>
      <c r="E42" s="2">
        <v>44446</v>
      </c>
      <c r="F42">
        <v>3</v>
      </c>
      <c r="G42" t="s">
        <v>31</v>
      </c>
      <c r="H42" t="s">
        <v>71</v>
      </c>
      <c r="I42" t="s">
        <v>324</v>
      </c>
      <c r="J42" t="s">
        <v>326</v>
      </c>
      <c r="K42" t="s">
        <v>331</v>
      </c>
      <c r="L42" t="s">
        <v>340</v>
      </c>
      <c r="M42" t="s">
        <v>347</v>
      </c>
      <c r="N42" t="s">
        <v>350</v>
      </c>
      <c r="O42" t="s">
        <v>354</v>
      </c>
      <c r="P42" t="s">
        <v>361</v>
      </c>
      <c r="Q42">
        <v>207.71</v>
      </c>
      <c r="R42">
        <v>10</v>
      </c>
      <c r="S42">
        <v>5.79</v>
      </c>
    </row>
    <row r="43" spans="1:19" x14ac:dyDescent="0.25">
      <c r="A43">
        <v>42</v>
      </c>
      <c r="B43" s="2">
        <v>45176</v>
      </c>
      <c r="C43">
        <v>2023</v>
      </c>
      <c r="D43" t="s">
        <v>25</v>
      </c>
      <c r="E43" s="2">
        <v>45184</v>
      </c>
      <c r="F43">
        <v>8</v>
      </c>
      <c r="G43" t="s">
        <v>33</v>
      </c>
      <c r="H43" t="s">
        <v>72</v>
      </c>
      <c r="I43" t="s">
        <v>324</v>
      </c>
      <c r="J43" t="s">
        <v>326</v>
      </c>
      <c r="K43" t="s">
        <v>333</v>
      </c>
      <c r="L43" t="s">
        <v>342</v>
      </c>
      <c r="M43" t="s">
        <v>345</v>
      </c>
      <c r="N43" t="s">
        <v>352</v>
      </c>
      <c r="O43" t="s">
        <v>357</v>
      </c>
      <c r="P43" t="s">
        <v>359</v>
      </c>
      <c r="Q43">
        <v>200.74</v>
      </c>
      <c r="R43">
        <v>7</v>
      </c>
      <c r="S43">
        <v>-23.1</v>
      </c>
    </row>
    <row r="44" spans="1:19" x14ac:dyDescent="0.25">
      <c r="A44">
        <v>43</v>
      </c>
      <c r="B44" s="2">
        <v>45649</v>
      </c>
      <c r="C44">
        <v>2024</v>
      </c>
      <c r="D44" t="s">
        <v>29</v>
      </c>
      <c r="E44" s="2">
        <v>45657</v>
      </c>
      <c r="F44">
        <v>8</v>
      </c>
      <c r="G44" t="s">
        <v>34</v>
      </c>
      <c r="H44" t="s">
        <v>73</v>
      </c>
      <c r="I44" t="s">
        <v>323</v>
      </c>
      <c r="J44" t="s">
        <v>327</v>
      </c>
      <c r="K44" t="s">
        <v>330</v>
      </c>
      <c r="L44" t="s">
        <v>339</v>
      </c>
      <c r="M44" t="s">
        <v>346</v>
      </c>
      <c r="N44" t="s">
        <v>352</v>
      </c>
      <c r="O44" t="s">
        <v>357</v>
      </c>
      <c r="P44" t="s">
        <v>362</v>
      </c>
      <c r="Q44">
        <v>482.92</v>
      </c>
      <c r="R44">
        <v>4</v>
      </c>
      <c r="S44">
        <v>147.96</v>
      </c>
    </row>
    <row r="45" spans="1:19" x14ac:dyDescent="0.25">
      <c r="A45">
        <v>44</v>
      </c>
      <c r="B45" s="2">
        <v>45941</v>
      </c>
      <c r="C45">
        <v>2025</v>
      </c>
      <c r="D45" t="s">
        <v>22</v>
      </c>
      <c r="E45" s="2">
        <v>45943</v>
      </c>
      <c r="F45">
        <v>2</v>
      </c>
      <c r="G45" t="s">
        <v>33</v>
      </c>
      <c r="H45" t="s">
        <v>74</v>
      </c>
      <c r="I45" t="s">
        <v>323</v>
      </c>
      <c r="J45" t="s">
        <v>327</v>
      </c>
      <c r="K45" t="s">
        <v>330</v>
      </c>
      <c r="L45" t="s">
        <v>339</v>
      </c>
      <c r="M45" t="s">
        <v>346</v>
      </c>
      <c r="N45" t="s">
        <v>351</v>
      </c>
      <c r="O45" t="s">
        <v>355</v>
      </c>
      <c r="P45" t="s">
        <v>361</v>
      </c>
      <c r="Q45">
        <v>29.54</v>
      </c>
      <c r="R45">
        <v>8</v>
      </c>
      <c r="S45">
        <v>4.4800000000000004</v>
      </c>
    </row>
    <row r="46" spans="1:19" x14ac:dyDescent="0.25">
      <c r="A46">
        <v>45</v>
      </c>
      <c r="B46" s="2">
        <v>45672</v>
      </c>
      <c r="C46">
        <v>2025</v>
      </c>
      <c r="D46" t="s">
        <v>23</v>
      </c>
      <c r="E46" s="2">
        <v>45677</v>
      </c>
      <c r="F46">
        <v>5</v>
      </c>
      <c r="G46" t="s">
        <v>33</v>
      </c>
      <c r="H46" t="s">
        <v>72</v>
      </c>
      <c r="I46" t="s">
        <v>324</v>
      </c>
      <c r="J46" t="s">
        <v>328</v>
      </c>
      <c r="K46" t="s">
        <v>336</v>
      </c>
      <c r="L46" t="s">
        <v>343</v>
      </c>
      <c r="M46" t="s">
        <v>347</v>
      </c>
      <c r="N46" t="s">
        <v>350</v>
      </c>
      <c r="O46" t="s">
        <v>353</v>
      </c>
      <c r="P46" t="s">
        <v>360</v>
      </c>
      <c r="Q46">
        <v>85.11</v>
      </c>
      <c r="R46">
        <v>6</v>
      </c>
      <c r="S46">
        <v>-3.34</v>
      </c>
    </row>
    <row r="47" spans="1:19" x14ac:dyDescent="0.25">
      <c r="A47">
        <v>46</v>
      </c>
      <c r="B47" s="2">
        <v>43953</v>
      </c>
      <c r="C47">
        <v>2020</v>
      </c>
      <c r="D47" t="s">
        <v>19</v>
      </c>
      <c r="E47" s="2">
        <v>43961</v>
      </c>
      <c r="F47">
        <v>8</v>
      </c>
      <c r="G47" t="s">
        <v>32</v>
      </c>
      <c r="H47" t="s">
        <v>36</v>
      </c>
      <c r="I47" t="s">
        <v>325</v>
      </c>
      <c r="J47" t="s">
        <v>326</v>
      </c>
      <c r="K47" t="s">
        <v>333</v>
      </c>
      <c r="L47" t="s">
        <v>342</v>
      </c>
      <c r="M47" t="s">
        <v>345</v>
      </c>
      <c r="N47" t="s">
        <v>351</v>
      </c>
      <c r="O47" t="s">
        <v>355</v>
      </c>
      <c r="P47" t="s">
        <v>362</v>
      </c>
      <c r="Q47">
        <v>251.12</v>
      </c>
      <c r="R47">
        <v>2</v>
      </c>
      <c r="S47">
        <v>-36.22</v>
      </c>
    </row>
    <row r="48" spans="1:19" x14ac:dyDescent="0.25">
      <c r="A48">
        <v>47</v>
      </c>
      <c r="B48" s="2">
        <v>44034</v>
      </c>
      <c r="C48">
        <v>2020</v>
      </c>
      <c r="D48" t="s">
        <v>20</v>
      </c>
      <c r="E48" s="2">
        <v>44039</v>
      </c>
      <c r="F48">
        <v>5</v>
      </c>
      <c r="G48" t="s">
        <v>33</v>
      </c>
      <c r="H48" t="s">
        <v>75</v>
      </c>
      <c r="I48" t="s">
        <v>323</v>
      </c>
      <c r="J48" t="s">
        <v>327</v>
      </c>
      <c r="K48" t="s">
        <v>337</v>
      </c>
      <c r="L48" t="s">
        <v>344</v>
      </c>
      <c r="M48" t="s">
        <v>347</v>
      </c>
      <c r="N48" t="s">
        <v>350</v>
      </c>
      <c r="O48" t="s">
        <v>354</v>
      </c>
      <c r="P48" t="s">
        <v>362</v>
      </c>
      <c r="Q48">
        <v>306.67</v>
      </c>
      <c r="R48">
        <v>5</v>
      </c>
      <c r="S48">
        <v>-6.14</v>
      </c>
    </row>
    <row r="49" spans="1:19" x14ac:dyDescent="0.25">
      <c r="A49">
        <v>48</v>
      </c>
      <c r="B49" s="2">
        <v>45491</v>
      </c>
      <c r="C49">
        <v>2024</v>
      </c>
      <c r="D49" t="s">
        <v>20</v>
      </c>
      <c r="E49" s="2">
        <v>45499</v>
      </c>
      <c r="F49">
        <v>8</v>
      </c>
      <c r="G49" t="s">
        <v>33</v>
      </c>
      <c r="H49" t="s">
        <v>76</v>
      </c>
      <c r="I49" t="s">
        <v>324</v>
      </c>
      <c r="J49" t="s">
        <v>328</v>
      </c>
      <c r="K49" t="s">
        <v>332</v>
      </c>
      <c r="L49" t="s">
        <v>341</v>
      </c>
      <c r="M49" t="s">
        <v>348</v>
      </c>
      <c r="N49" t="s">
        <v>350</v>
      </c>
      <c r="O49" t="s">
        <v>354</v>
      </c>
      <c r="P49" t="s">
        <v>360</v>
      </c>
      <c r="Q49">
        <v>172.6</v>
      </c>
      <c r="R49">
        <v>9</v>
      </c>
      <c r="S49">
        <v>-39.92</v>
      </c>
    </row>
    <row r="50" spans="1:19" x14ac:dyDescent="0.25">
      <c r="A50">
        <v>49</v>
      </c>
      <c r="B50" s="2">
        <v>45942</v>
      </c>
      <c r="C50">
        <v>2025</v>
      </c>
      <c r="D50" t="s">
        <v>22</v>
      </c>
      <c r="E50" s="2">
        <v>45944</v>
      </c>
      <c r="F50">
        <v>2</v>
      </c>
      <c r="G50" t="s">
        <v>34</v>
      </c>
      <c r="H50" t="s">
        <v>77</v>
      </c>
      <c r="I50" t="s">
        <v>323</v>
      </c>
      <c r="J50" t="s">
        <v>326</v>
      </c>
      <c r="K50" t="s">
        <v>331</v>
      </c>
      <c r="L50" t="s">
        <v>340</v>
      </c>
      <c r="M50" t="s">
        <v>347</v>
      </c>
      <c r="N50" t="s">
        <v>351</v>
      </c>
      <c r="O50" t="s">
        <v>355</v>
      </c>
      <c r="P50" t="s">
        <v>362</v>
      </c>
      <c r="Q50">
        <v>282.23</v>
      </c>
      <c r="R50">
        <v>7</v>
      </c>
      <c r="S50">
        <v>96.99</v>
      </c>
    </row>
    <row r="51" spans="1:19" x14ac:dyDescent="0.25">
      <c r="A51">
        <v>50</v>
      </c>
      <c r="B51" s="2">
        <v>44714</v>
      </c>
      <c r="C51">
        <v>2022</v>
      </c>
      <c r="D51" t="s">
        <v>21</v>
      </c>
      <c r="E51" s="2">
        <v>44717</v>
      </c>
      <c r="F51">
        <v>3</v>
      </c>
      <c r="G51" t="s">
        <v>34</v>
      </c>
      <c r="H51" t="s">
        <v>44</v>
      </c>
      <c r="I51" t="s">
        <v>323</v>
      </c>
      <c r="J51" t="s">
        <v>328</v>
      </c>
      <c r="K51" t="s">
        <v>335</v>
      </c>
      <c r="L51" t="s">
        <v>335</v>
      </c>
      <c r="M51" t="s">
        <v>345</v>
      </c>
      <c r="N51" t="s">
        <v>352</v>
      </c>
      <c r="O51" t="s">
        <v>358</v>
      </c>
      <c r="P51" t="s">
        <v>359</v>
      </c>
      <c r="Q51">
        <v>345.57</v>
      </c>
      <c r="R51">
        <v>2</v>
      </c>
      <c r="S51">
        <v>-42.93</v>
      </c>
    </row>
    <row r="52" spans="1:19" x14ac:dyDescent="0.25">
      <c r="A52">
        <v>51</v>
      </c>
      <c r="B52" s="2">
        <v>43897</v>
      </c>
      <c r="C52">
        <v>2020</v>
      </c>
      <c r="D52" t="s">
        <v>24</v>
      </c>
      <c r="E52" s="2">
        <v>43905</v>
      </c>
      <c r="F52">
        <v>8</v>
      </c>
      <c r="G52" t="s">
        <v>34</v>
      </c>
      <c r="H52" t="s">
        <v>78</v>
      </c>
      <c r="I52" t="s">
        <v>324</v>
      </c>
      <c r="J52" t="s">
        <v>327</v>
      </c>
      <c r="K52" t="s">
        <v>334</v>
      </c>
      <c r="L52" t="s">
        <v>334</v>
      </c>
      <c r="M52" t="s">
        <v>349</v>
      </c>
      <c r="N52" t="s">
        <v>350</v>
      </c>
      <c r="O52" t="s">
        <v>353</v>
      </c>
      <c r="P52" t="s">
        <v>362</v>
      </c>
      <c r="Q52">
        <v>265.60000000000002</v>
      </c>
      <c r="R52">
        <v>1</v>
      </c>
      <c r="S52">
        <v>40.61</v>
      </c>
    </row>
    <row r="53" spans="1:19" x14ac:dyDescent="0.25">
      <c r="A53">
        <v>52</v>
      </c>
      <c r="B53" s="2">
        <v>45977</v>
      </c>
      <c r="C53">
        <v>2025</v>
      </c>
      <c r="D53" t="s">
        <v>30</v>
      </c>
      <c r="E53" s="2">
        <v>45978</v>
      </c>
      <c r="F53">
        <v>1</v>
      </c>
      <c r="G53" t="s">
        <v>31</v>
      </c>
      <c r="H53" t="s">
        <v>79</v>
      </c>
      <c r="I53" t="s">
        <v>324</v>
      </c>
      <c r="J53" t="s">
        <v>327</v>
      </c>
      <c r="K53" t="s">
        <v>337</v>
      </c>
      <c r="L53" t="s">
        <v>344</v>
      </c>
      <c r="M53" t="s">
        <v>347</v>
      </c>
      <c r="N53" t="s">
        <v>352</v>
      </c>
      <c r="O53" t="s">
        <v>357</v>
      </c>
      <c r="P53" t="s">
        <v>362</v>
      </c>
      <c r="Q53">
        <v>214.16</v>
      </c>
      <c r="R53">
        <v>9</v>
      </c>
      <c r="S53">
        <v>47.29</v>
      </c>
    </row>
    <row r="54" spans="1:19" x14ac:dyDescent="0.25">
      <c r="A54">
        <v>53</v>
      </c>
      <c r="B54" s="2">
        <v>45229</v>
      </c>
      <c r="C54">
        <v>2023</v>
      </c>
      <c r="D54" t="s">
        <v>22</v>
      </c>
      <c r="E54" s="2">
        <v>45232</v>
      </c>
      <c r="F54">
        <v>3</v>
      </c>
      <c r="G54" t="s">
        <v>33</v>
      </c>
      <c r="H54" t="s">
        <v>36</v>
      </c>
      <c r="I54" t="s">
        <v>323</v>
      </c>
      <c r="J54" t="s">
        <v>326</v>
      </c>
      <c r="K54" t="s">
        <v>329</v>
      </c>
      <c r="L54" t="s">
        <v>338</v>
      </c>
      <c r="M54" t="s">
        <v>345</v>
      </c>
      <c r="N54" t="s">
        <v>352</v>
      </c>
      <c r="O54" t="s">
        <v>358</v>
      </c>
      <c r="P54" t="s">
        <v>362</v>
      </c>
      <c r="Q54">
        <v>269.35000000000002</v>
      </c>
      <c r="R54">
        <v>7</v>
      </c>
      <c r="S54">
        <v>73.87</v>
      </c>
    </row>
    <row r="55" spans="1:19" x14ac:dyDescent="0.25">
      <c r="A55">
        <v>54</v>
      </c>
      <c r="B55" s="2">
        <v>44169</v>
      </c>
      <c r="C55">
        <v>2020</v>
      </c>
      <c r="D55" t="s">
        <v>29</v>
      </c>
      <c r="E55" s="2">
        <v>44178</v>
      </c>
      <c r="F55">
        <v>9</v>
      </c>
      <c r="G55" t="s">
        <v>33</v>
      </c>
      <c r="H55" t="s">
        <v>80</v>
      </c>
      <c r="I55" t="s">
        <v>324</v>
      </c>
      <c r="J55" t="s">
        <v>328</v>
      </c>
      <c r="K55" t="s">
        <v>336</v>
      </c>
      <c r="L55" t="s">
        <v>343</v>
      </c>
      <c r="M55" t="s">
        <v>347</v>
      </c>
      <c r="N55" t="s">
        <v>350</v>
      </c>
      <c r="O55" t="s">
        <v>353</v>
      </c>
      <c r="P55" t="s">
        <v>362</v>
      </c>
      <c r="Q55">
        <v>319.77</v>
      </c>
      <c r="R55">
        <v>9</v>
      </c>
      <c r="S55">
        <v>6.6</v>
      </c>
    </row>
    <row r="56" spans="1:19" x14ac:dyDescent="0.25">
      <c r="A56">
        <v>55</v>
      </c>
      <c r="B56" s="2">
        <v>43982</v>
      </c>
      <c r="C56">
        <v>2020</v>
      </c>
      <c r="D56" t="s">
        <v>19</v>
      </c>
      <c r="E56" s="2">
        <v>43987</v>
      </c>
      <c r="F56">
        <v>5</v>
      </c>
      <c r="G56" t="s">
        <v>32</v>
      </c>
      <c r="H56" t="s">
        <v>81</v>
      </c>
      <c r="I56" t="s">
        <v>324</v>
      </c>
      <c r="J56" t="s">
        <v>328</v>
      </c>
      <c r="K56" t="s">
        <v>336</v>
      </c>
      <c r="L56" t="s">
        <v>343</v>
      </c>
      <c r="M56" t="s">
        <v>347</v>
      </c>
      <c r="N56" t="s">
        <v>352</v>
      </c>
      <c r="O56" t="s">
        <v>358</v>
      </c>
      <c r="P56" t="s">
        <v>362</v>
      </c>
      <c r="Q56">
        <v>255.91</v>
      </c>
      <c r="R56">
        <v>8</v>
      </c>
      <c r="S56">
        <v>75.05</v>
      </c>
    </row>
    <row r="57" spans="1:19" x14ac:dyDescent="0.25">
      <c r="A57">
        <v>56</v>
      </c>
      <c r="B57" s="2">
        <v>43885</v>
      </c>
      <c r="C57">
        <v>2020</v>
      </c>
      <c r="D57" t="s">
        <v>28</v>
      </c>
      <c r="E57" s="2">
        <v>43889</v>
      </c>
      <c r="F57">
        <v>4</v>
      </c>
      <c r="G57" t="s">
        <v>33</v>
      </c>
      <c r="H57" t="s">
        <v>82</v>
      </c>
      <c r="I57" t="s">
        <v>325</v>
      </c>
      <c r="J57" t="s">
        <v>326</v>
      </c>
      <c r="K57" t="s">
        <v>331</v>
      </c>
      <c r="L57" t="s">
        <v>340</v>
      </c>
      <c r="M57" t="s">
        <v>347</v>
      </c>
      <c r="N57" t="s">
        <v>350</v>
      </c>
      <c r="O57" t="s">
        <v>353</v>
      </c>
      <c r="P57" t="s">
        <v>360</v>
      </c>
      <c r="Q57">
        <v>384.78</v>
      </c>
      <c r="R57">
        <v>2</v>
      </c>
      <c r="S57">
        <v>-60.54</v>
      </c>
    </row>
    <row r="58" spans="1:19" x14ac:dyDescent="0.25">
      <c r="A58">
        <v>57</v>
      </c>
      <c r="B58" s="2">
        <v>43874</v>
      </c>
      <c r="C58">
        <v>2020</v>
      </c>
      <c r="D58" t="s">
        <v>28</v>
      </c>
      <c r="E58" s="2">
        <v>43881</v>
      </c>
      <c r="F58">
        <v>7</v>
      </c>
      <c r="G58" t="s">
        <v>34</v>
      </c>
      <c r="H58" t="s">
        <v>83</v>
      </c>
      <c r="I58" t="s">
        <v>323</v>
      </c>
      <c r="J58" t="s">
        <v>328</v>
      </c>
      <c r="K58" t="s">
        <v>336</v>
      </c>
      <c r="L58" t="s">
        <v>343</v>
      </c>
      <c r="M58" t="s">
        <v>347</v>
      </c>
      <c r="N58" t="s">
        <v>352</v>
      </c>
      <c r="O58" t="s">
        <v>357</v>
      </c>
      <c r="P58" t="s">
        <v>362</v>
      </c>
      <c r="Q58">
        <v>440.93</v>
      </c>
      <c r="R58">
        <v>6</v>
      </c>
      <c r="S58">
        <v>-67.790000000000006</v>
      </c>
    </row>
    <row r="59" spans="1:19" x14ac:dyDescent="0.25">
      <c r="A59">
        <v>58</v>
      </c>
      <c r="B59" s="2">
        <v>45983</v>
      </c>
      <c r="C59">
        <v>2025</v>
      </c>
      <c r="D59" t="s">
        <v>30</v>
      </c>
      <c r="E59" s="2">
        <v>45993</v>
      </c>
      <c r="F59">
        <v>10</v>
      </c>
      <c r="G59" t="s">
        <v>32</v>
      </c>
      <c r="H59" t="s">
        <v>84</v>
      </c>
      <c r="I59" t="s">
        <v>325</v>
      </c>
      <c r="J59" t="s">
        <v>328</v>
      </c>
      <c r="K59" t="s">
        <v>336</v>
      </c>
      <c r="L59" t="s">
        <v>343</v>
      </c>
      <c r="M59" t="s">
        <v>347</v>
      </c>
      <c r="N59" t="s">
        <v>351</v>
      </c>
      <c r="O59" t="s">
        <v>355</v>
      </c>
      <c r="P59" t="s">
        <v>362</v>
      </c>
      <c r="Q59">
        <v>461.78</v>
      </c>
      <c r="R59">
        <v>1</v>
      </c>
      <c r="S59">
        <v>224.4</v>
      </c>
    </row>
    <row r="60" spans="1:19" x14ac:dyDescent="0.25">
      <c r="A60">
        <v>59</v>
      </c>
      <c r="B60" s="2">
        <v>44061</v>
      </c>
      <c r="C60">
        <v>2020</v>
      </c>
      <c r="D60" t="s">
        <v>27</v>
      </c>
      <c r="E60" s="2">
        <v>44068</v>
      </c>
      <c r="F60">
        <v>7</v>
      </c>
      <c r="G60" t="s">
        <v>32</v>
      </c>
      <c r="H60" t="s">
        <v>85</v>
      </c>
      <c r="I60" t="s">
        <v>324</v>
      </c>
      <c r="J60" t="s">
        <v>326</v>
      </c>
      <c r="K60" t="s">
        <v>333</v>
      </c>
      <c r="L60" t="s">
        <v>342</v>
      </c>
      <c r="M60" t="s">
        <v>345</v>
      </c>
      <c r="N60" t="s">
        <v>352</v>
      </c>
      <c r="O60" t="s">
        <v>357</v>
      </c>
      <c r="P60" t="s">
        <v>362</v>
      </c>
      <c r="Q60">
        <v>154.01</v>
      </c>
      <c r="R60">
        <v>3</v>
      </c>
      <c r="S60">
        <v>28.59</v>
      </c>
    </row>
    <row r="61" spans="1:19" x14ac:dyDescent="0.25">
      <c r="A61">
        <v>60</v>
      </c>
      <c r="B61" s="2">
        <v>44198</v>
      </c>
      <c r="C61">
        <v>2021</v>
      </c>
      <c r="D61" t="s">
        <v>23</v>
      </c>
      <c r="E61" s="2">
        <v>44205</v>
      </c>
      <c r="F61">
        <v>7</v>
      </c>
      <c r="G61" t="s">
        <v>31</v>
      </c>
      <c r="H61" t="s">
        <v>86</v>
      </c>
      <c r="I61" t="s">
        <v>324</v>
      </c>
      <c r="J61" t="s">
        <v>328</v>
      </c>
      <c r="K61" t="s">
        <v>335</v>
      </c>
      <c r="L61" t="s">
        <v>335</v>
      </c>
      <c r="M61" t="s">
        <v>345</v>
      </c>
      <c r="N61" t="s">
        <v>352</v>
      </c>
      <c r="O61" t="s">
        <v>358</v>
      </c>
      <c r="P61" t="s">
        <v>360</v>
      </c>
      <c r="Q61">
        <v>445.01</v>
      </c>
      <c r="R61">
        <v>6</v>
      </c>
      <c r="S61">
        <v>160.62</v>
      </c>
    </row>
    <row r="62" spans="1:19" x14ac:dyDescent="0.25">
      <c r="A62">
        <v>61</v>
      </c>
      <c r="B62" s="2">
        <v>45116</v>
      </c>
      <c r="C62">
        <v>2023</v>
      </c>
      <c r="D62" t="s">
        <v>20</v>
      </c>
      <c r="E62" s="2">
        <v>45117</v>
      </c>
      <c r="F62">
        <v>1</v>
      </c>
      <c r="G62" t="s">
        <v>31</v>
      </c>
      <c r="H62" t="s">
        <v>87</v>
      </c>
      <c r="I62" t="s">
        <v>323</v>
      </c>
      <c r="J62" t="s">
        <v>326</v>
      </c>
      <c r="K62" t="s">
        <v>333</v>
      </c>
      <c r="L62" t="s">
        <v>342</v>
      </c>
      <c r="M62" t="s">
        <v>345</v>
      </c>
      <c r="N62" t="s">
        <v>351</v>
      </c>
      <c r="O62" t="s">
        <v>356</v>
      </c>
      <c r="P62" t="s">
        <v>362</v>
      </c>
      <c r="Q62">
        <v>440.57</v>
      </c>
      <c r="R62">
        <v>2</v>
      </c>
      <c r="S62">
        <v>94.05</v>
      </c>
    </row>
    <row r="63" spans="1:19" x14ac:dyDescent="0.25">
      <c r="A63">
        <v>62</v>
      </c>
      <c r="B63" s="2">
        <v>45849</v>
      </c>
      <c r="C63">
        <v>2025</v>
      </c>
      <c r="D63" t="s">
        <v>20</v>
      </c>
      <c r="E63" s="2">
        <v>45855</v>
      </c>
      <c r="F63">
        <v>6</v>
      </c>
      <c r="G63" t="s">
        <v>31</v>
      </c>
      <c r="H63" t="s">
        <v>88</v>
      </c>
      <c r="I63" t="s">
        <v>325</v>
      </c>
      <c r="J63" t="s">
        <v>328</v>
      </c>
      <c r="K63" t="s">
        <v>335</v>
      </c>
      <c r="L63" t="s">
        <v>335</v>
      </c>
      <c r="M63" t="s">
        <v>345</v>
      </c>
      <c r="N63" t="s">
        <v>351</v>
      </c>
      <c r="O63" t="s">
        <v>356</v>
      </c>
      <c r="P63" t="s">
        <v>359</v>
      </c>
      <c r="Q63">
        <v>42.58</v>
      </c>
      <c r="R63">
        <v>2</v>
      </c>
      <c r="S63">
        <v>-7.24</v>
      </c>
    </row>
    <row r="64" spans="1:19" x14ac:dyDescent="0.25">
      <c r="A64">
        <v>63</v>
      </c>
      <c r="B64" s="2">
        <v>45276</v>
      </c>
      <c r="C64">
        <v>2023</v>
      </c>
      <c r="D64" t="s">
        <v>29</v>
      </c>
      <c r="E64" s="2">
        <v>45280</v>
      </c>
      <c r="F64">
        <v>4</v>
      </c>
      <c r="G64" t="s">
        <v>32</v>
      </c>
      <c r="H64" t="s">
        <v>89</v>
      </c>
      <c r="I64" t="s">
        <v>325</v>
      </c>
      <c r="J64" t="s">
        <v>328</v>
      </c>
      <c r="K64" t="s">
        <v>332</v>
      </c>
      <c r="L64" t="s">
        <v>341</v>
      </c>
      <c r="M64" t="s">
        <v>348</v>
      </c>
      <c r="N64" t="s">
        <v>352</v>
      </c>
      <c r="O64" t="s">
        <v>358</v>
      </c>
      <c r="P64" t="s">
        <v>362</v>
      </c>
      <c r="Q64">
        <v>99.36</v>
      </c>
      <c r="R64">
        <v>2</v>
      </c>
      <c r="S64">
        <v>-24.41</v>
      </c>
    </row>
    <row r="65" spans="1:19" x14ac:dyDescent="0.25">
      <c r="A65">
        <v>64</v>
      </c>
      <c r="B65" s="2">
        <v>45016</v>
      </c>
      <c r="C65">
        <v>2023</v>
      </c>
      <c r="D65" t="s">
        <v>24</v>
      </c>
      <c r="E65" s="2">
        <v>45018</v>
      </c>
      <c r="F65">
        <v>2</v>
      </c>
      <c r="G65" t="s">
        <v>31</v>
      </c>
      <c r="H65" t="s">
        <v>90</v>
      </c>
      <c r="I65" t="s">
        <v>324</v>
      </c>
      <c r="J65" t="s">
        <v>328</v>
      </c>
      <c r="K65" t="s">
        <v>332</v>
      </c>
      <c r="L65" t="s">
        <v>341</v>
      </c>
      <c r="M65" t="s">
        <v>348</v>
      </c>
      <c r="N65" t="s">
        <v>352</v>
      </c>
      <c r="O65" t="s">
        <v>358</v>
      </c>
      <c r="P65" t="s">
        <v>361</v>
      </c>
      <c r="Q65">
        <v>88.74</v>
      </c>
      <c r="R65">
        <v>7</v>
      </c>
      <c r="S65">
        <v>25.33</v>
      </c>
    </row>
    <row r="66" spans="1:19" x14ac:dyDescent="0.25">
      <c r="A66">
        <v>65</v>
      </c>
      <c r="B66" s="2">
        <v>45820</v>
      </c>
      <c r="C66">
        <v>2025</v>
      </c>
      <c r="D66" t="s">
        <v>21</v>
      </c>
      <c r="E66" s="2">
        <v>45823</v>
      </c>
      <c r="F66">
        <v>3</v>
      </c>
      <c r="G66" t="s">
        <v>34</v>
      </c>
      <c r="H66" t="s">
        <v>91</v>
      </c>
      <c r="I66" t="s">
        <v>325</v>
      </c>
      <c r="J66" t="s">
        <v>326</v>
      </c>
      <c r="K66" t="s">
        <v>331</v>
      </c>
      <c r="L66" t="s">
        <v>340</v>
      </c>
      <c r="M66" t="s">
        <v>347</v>
      </c>
      <c r="N66" t="s">
        <v>351</v>
      </c>
      <c r="O66" t="s">
        <v>356</v>
      </c>
      <c r="P66" t="s">
        <v>360</v>
      </c>
      <c r="Q66">
        <v>283.38</v>
      </c>
      <c r="R66">
        <v>2</v>
      </c>
      <c r="S66">
        <v>141.35</v>
      </c>
    </row>
    <row r="67" spans="1:19" x14ac:dyDescent="0.25">
      <c r="A67">
        <v>66</v>
      </c>
      <c r="B67" s="2">
        <v>44362</v>
      </c>
      <c r="C67">
        <v>2021</v>
      </c>
      <c r="D67" t="s">
        <v>21</v>
      </c>
      <c r="E67" s="2">
        <v>44363</v>
      </c>
      <c r="F67">
        <v>1</v>
      </c>
      <c r="G67" t="s">
        <v>32</v>
      </c>
      <c r="H67" t="s">
        <v>92</v>
      </c>
      <c r="I67" t="s">
        <v>325</v>
      </c>
      <c r="J67" t="s">
        <v>326</v>
      </c>
      <c r="K67" t="s">
        <v>329</v>
      </c>
      <c r="L67" t="s">
        <v>338</v>
      </c>
      <c r="M67" t="s">
        <v>345</v>
      </c>
      <c r="N67" t="s">
        <v>351</v>
      </c>
      <c r="O67" t="s">
        <v>356</v>
      </c>
      <c r="P67" t="s">
        <v>360</v>
      </c>
      <c r="Q67">
        <v>49.57</v>
      </c>
      <c r="R67">
        <v>3</v>
      </c>
      <c r="S67">
        <v>-9.65</v>
      </c>
    </row>
    <row r="68" spans="1:19" x14ac:dyDescent="0.25">
      <c r="A68">
        <v>67</v>
      </c>
      <c r="B68" s="2">
        <v>45523</v>
      </c>
      <c r="C68">
        <v>2024</v>
      </c>
      <c r="D68" t="s">
        <v>27</v>
      </c>
      <c r="E68" s="2">
        <v>45526</v>
      </c>
      <c r="F68">
        <v>3</v>
      </c>
      <c r="G68" t="s">
        <v>33</v>
      </c>
      <c r="H68" t="s">
        <v>93</v>
      </c>
      <c r="I68" t="s">
        <v>325</v>
      </c>
      <c r="J68" t="s">
        <v>327</v>
      </c>
      <c r="K68" t="s">
        <v>337</v>
      </c>
      <c r="L68" t="s">
        <v>344</v>
      </c>
      <c r="M68" t="s">
        <v>347</v>
      </c>
      <c r="N68" t="s">
        <v>350</v>
      </c>
      <c r="O68" t="s">
        <v>354</v>
      </c>
      <c r="P68" t="s">
        <v>360</v>
      </c>
      <c r="Q68">
        <v>326.23</v>
      </c>
      <c r="R68">
        <v>9</v>
      </c>
      <c r="S68">
        <v>150.61000000000001</v>
      </c>
    </row>
    <row r="69" spans="1:19" x14ac:dyDescent="0.25">
      <c r="A69">
        <v>68</v>
      </c>
      <c r="B69" s="2">
        <v>45439</v>
      </c>
      <c r="C69">
        <v>2024</v>
      </c>
      <c r="D69" t="s">
        <v>19</v>
      </c>
      <c r="E69" s="2">
        <v>45444</v>
      </c>
      <c r="F69">
        <v>5</v>
      </c>
      <c r="G69" t="s">
        <v>33</v>
      </c>
      <c r="H69" t="s">
        <v>94</v>
      </c>
      <c r="I69" t="s">
        <v>324</v>
      </c>
      <c r="J69" t="s">
        <v>326</v>
      </c>
      <c r="K69" t="s">
        <v>333</v>
      </c>
      <c r="L69" t="s">
        <v>342</v>
      </c>
      <c r="M69" t="s">
        <v>345</v>
      </c>
      <c r="N69" t="s">
        <v>350</v>
      </c>
      <c r="O69" t="s">
        <v>354</v>
      </c>
      <c r="P69" t="s">
        <v>362</v>
      </c>
      <c r="Q69">
        <v>24.05</v>
      </c>
      <c r="R69">
        <v>4</v>
      </c>
      <c r="S69">
        <v>5.72</v>
      </c>
    </row>
    <row r="70" spans="1:19" x14ac:dyDescent="0.25">
      <c r="A70">
        <v>69</v>
      </c>
      <c r="B70" s="2">
        <v>45314</v>
      </c>
      <c r="C70">
        <v>2024</v>
      </c>
      <c r="D70" t="s">
        <v>23</v>
      </c>
      <c r="E70" s="2">
        <v>45320</v>
      </c>
      <c r="F70">
        <v>6</v>
      </c>
      <c r="G70" t="s">
        <v>34</v>
      </c>
      <c r="H70" t="s">
        <v>95</v>
      </c>
      <c r="I70" t="s">
        <v>323</v>
      </c>
      <c r="J70" t="s">
        <v>326</v>
      </c>
      <c r="K70" t="s">
        <v>333</v>
      </c>
      <c r="L70" t="s">
        <v>342</v>
      </c>
      <c r="M70" t="s">
        <v>345</v>
      </c>
      <c r="N70" t="s">
        <v>352</v>
      </c>
      <c r="O70" t="s">
        <v>357</v>
      </c>
      <c r="P70" t="s">
        <v>360</v>
      </c>
      <c r="Q70">
        <v>107.87</v>
      </c>
      <c r="R70">
        <v>8</v>
      </c>
      <c r="S70">
        <v>43.8</v>
      </c>
    </row>
    <row r="71" spans="1:19" x14ac:dyDescent="0.25">
      <c r="A71">
        <v>70</v>
      </c>
      <c r="B71" s="2">
        <v>44412</v>
      </c>
      <c r="C71">
        <v>2021</v>
      </c>
      <c r="D71" t="s">
        <v>27</v>
      </c>
      <c r="E71" s="2">
        <v>44420</v>
      </c>
      <c r="F71">
        <v>8</v>
      </c>
      <c r="G71" t="s">
        <v>33</v>
      </c>
      <c r="H71" t="s">
        <v>73</v>
      </c>
      <c r="I71" t="s">
        <v>325</v>
      </c>
      <c r="J71" t="s">
        <v>326</v>
      </c>
      <c r="K71" t="s">
        <v>333</v>
      </c>
      <c r="L71" t="s">
        <v>342</v>
      </c>
      <c r="M71" t="s">
        <v>345</v>
      </c>
      <c r="N71" t="s">
        <v>350</v>
      </c>
      <c r="O71" t="s">
        <v>354</v>
      </c>
      <c r="P71" t="s">
        <v>360</v>
      </c>
      <c r="Q71">
        <v>327.37</v>
      </c>
      <c r="R71">
        <v>7</v>
      </c>
      <c r="S71">
        <v>102.81</v>
      </c>
    </row>
    <row r="72" spans="1:19" x14ac:dyDescent="0.25">
      <c r="A72">
        <v>71</v>
      </c>
      <c r="B72" s="2">
        <v>45350</v>
      </c>
      <c r="C72">
        <v>2024</v>
      </c>
      <c r="D72" t="s">
        <v>28</v>
      </c>
      <c r="E72" s="2">
        <v>45352</v>
      </c>
      <c r="F72">
        <v>2</v>
      </c>
      <c r="G72" t="s">
        <v>32</v>
      </c>
      <c r="H72" t="s">
        <v>96</v>
      </c>
      <c r="I72" t="s">
        <v>325</v>
      </c>
      <c r="J72" t="s">
        <v>326</v>
      </c>
      <c r="K72" t="s">
        <v>333</v>
      </c>
      <c r="L72" t="s">
        <v>342</v>
      </c>
      <c r="M72" t="s">
        <v>345</v>
      </c>
      <c r="N72" t="s">
        <v>350</v>
      </c>
      <c r="O72" t="s">
        <v>354</v>
      </c>
      <c r="P72" t="s">
        <v>360</v>
      </c>
      <c r="Q72">
        <v>224.85</v>
      </c>
      <c r="R72">
        <v>7</v>
      </c>
      <c r="S72">
        <v>40.450000000000003</v>
      </c>
    </row>
    <row r="73" spans="1:19" x14ac:dyDescent="0.25">
      <c r="A73">
        <v>72</v>
      </c>
      <c r="B73" s="2">
        <v>45700</v>
      </c>
      <c r="C73">
        <v>2025</v>
      </c>
      <c r="D73" t="s">
        <v>28</v>
      </c>
      <c r="E73" s="2">
        <v>45707</v>
      </c>
      <c r="F73">
        <v>7</v>
      </c>
      <c r="G73" t="s">
        <v>33</v>
      </c>
      <c r="H73" t="s">
        <v>97</v>
      </c>
      <c r="I73" t="s">
        <v>323</v>
      </c>
      <c r="J73" t="s">
        <v>327</v>
      </c>
      <c r="K73" t="s">
        <v>337</v>
      </c>
      <c r="L73" t="s">
        <v>344</v>
      </c>
      <c r="M73" t="s">
        <v>347</v>
      </c>
      <c r="N73" t="s">
        <v>352</v>
      </c>
      <c r="O73" t="s">
        <v>358</v>
      </c>
      <c r="P73" t="s">
        <v>361</v>
      </c>
      <c r="Q73">
        <v>293.02</v>
      </c>
      <c r="R73">
        <v>6</v>
      </c>
      <c r="S73">
        <v>-65.14</v>
      </c>
    </row>
    <row r="74" spans="1:19" x14ac:dyDescent="0.25">
      <c r="A74">
        <v>73</v>
      </c>
      <c r="B74" s="2">
        <v>45031</v>
      </c>
      <c r="C74">
        <v>2023</v>
      </c>
      <c r="D74" t="s">
        <v>26</v>
      </c>
      <c r="E74" s="2">
        <v>45039</v>
      </c>
      <c r="F74">
        <v>8</v>
      </c>
      <c r="G74" t="s">
        <v>32</v>
      </c>
      <c r="H74" t="s">
        <v>98</v>
      </c>
      <c r="I74" t="s">
        <v>325</v>
      </c>
      <c r="J74" t="s">
        <v>326</v>
      </c>
      <c r="K74" t="s">
        <v>329</v>
      </c>
      <c r="L74" t="s">
        <v>338</v>
      </c>
      <c r="M74" t="s">
        <v>345</v>
      </c>
      <c r="N74" t="s">
        <v>351</v>
      </c>
      <c r="O74" t="s">
        <v>355</v>
      </c>
      <c r="P74" t="s">
        <v>359</v>
      </c>
      <c r="Q74">
        <v>371.87</v>
      </c>
      <c r="R74">
        <v>1</v>
      </c>
      <c r="S74">
        <v>174.59</v>
      </c>
    </row>
    <row r="75" spans="1:19" x14ac:dyDescent="0.25">
      <c r="A75">
        <v>74</v>
      </c>
      <c r="B75" s="2">
        <v>44939</v>
      </c>
      <c r="C75">
        <v>2023</v>
      </c>
      <c r="D75" t="s">
        <v>23</v>
      </c>
      <c r="E75" s="2">
        <v>44940</v>
      </c>
      <c r="F75">
        <v>1</v>
      </c>
      <c r="G75" t="s">
        <v>33</v>
      </c>
      <c r="H75" t="s">
        <v>99</v>
      </c>
      <c r="I75" t="s">
        <v>325</v>
      </c>
      <c r="J75" t="s">
        <v>326</v>
      </c>
      <c r="K75" t="s">
        <v>333</v>
      </c>
      <c r="L75" t="s">
        <v>342</v>
      </c>
      <c r="M75" t="s">
        <v>345</v>
      </c>
      <c r="N75" t="s">
        <v>352</v>
      </c>
      <c r="O75" t="s">
        <v>357</v>
      </c>
      <c r="P75" t="s">
        <v>359</v>
      </c>
      <c r="Q75">
        <v>431.34</v>
      </c>
      <c r="R75">
        <v>2</v>
      </c>
      <c r="S75">
        <v>-11.08</v>
      </c>
    </row>
    <row r="76" spans="1:19" x14ac:dyDescent="0.25">
      <c r="A76">
        <v>75</v>
      </c>
      <c r="B76" s="2">
        <v>44339</v>
      </c>
      <c r="C76">
        <v>2021</v>
      </c>
      <c r="D76" t="s">
        <v>19</v>
      </c>
      <c r="E76" s="2">
        <v>44347</v>
      </c>
      <c r="F76">
        <v>8</v>
      </c>
      <c r="G76" t="s">
        <v>34</v>
      </c>
      <c r="H76" t="s">
        <v>100</v>
      </c>
      <c r="I76" t="s">
        <v>323</v>
      </c>
      <c r="J76" t="s">
        <v>328</v>
      </c>
      <c r="K76" t="s">
        <v>336</v>
      </c>
      <c r="L76" t="s">
        <v>343</v>
      </c>
      <c r="M76" t="s">
        <v>347</v>
      </c>
      <c r="N76" t="s">
        <v>350</v>
      </c>
      <c r="O76" t="s">
        <v>354</v>
      </c>
      <c r="P76" t="s">
        <v>359</v>
      </c>
      <c r="Q76">
        <v>213.65</v>
      </c>
      <c r="R76">
        <v>3</v>
      </c>
      <c r="S76">
        <v>27.06</v>
      </c>
    </row>
    <row r="77" spans="1:19" x14ac:dyDescent="0.25">
      <c r="A77">
        <v>76</v>
      </c>
      <c r="B77" s="2">
        <v>44035</v>
      </c>
      <c r="C77">
        <v>2020</v>
      </c>
      <c r="D77" t="s">
        <v>20</v>
      </c>
      <c r="E77" s="2">
        <v>44036</v>
      </c>
      <c r="F77">
        <v>1</v>
      </c>
      <c r="G77" t="s">
        <v>34</v>
      </c>
      <c r="H77" t="s">
        <v>91</v>
      </c>
      <c r="I77" t="s">
        <v>325</v>
      </c>
      <c r="J77" t="s">
        <v>328</v>
      </c>
      <c r="K77" t="s">
        <v>332</v>
      </c>
      <c r="L77" t="s">
        <v>341</v>
      </c>
      <c r="M77" t="s">
        <v>348</v>
      </c>
      <c r="N77" t="s">
        <v>352</v>
      </c>
      <c r="O77" t="s">
        <v>357</v>
      </c>
      <c r="P77" t="s">
        <v>362</v>
      </c>
      <c r="Q77">
        <v>316.3</v>
      </c>
      <c r="R77">
        <v>2</v>
      </c>
      <c r="S77">
        <v>101.08</v>
      </c>
    </row>
    <row r="78" spans="1:19" x14ac:dyDescent="0.25">
      <c r="A78">
        <v>77</v>
      </c>
      <c r="B78" s="2">
        <v>44434</v>
      </c>
      <c r="C78">
        <v>2021</v>
      </c>
      <c r="D78" t="s">
        <v>27</v>
      </c>
      <c r="E78" s="2">
        <v>44440</v>
      </c>
      <c r="F78">
        <v>6</v>
      </c>
      <c r="G78" t="s">
        <v>31</v>
      </c>
      <c r="H78" t="s">
        <v>101</v>
      </c>
      <c r="I78" t="s">
        <v>323</v>
      </c>
      <c r="J78" t="s">
        <v>327</v>
      </c>
      <c r="K78" t="s">
        <v>337</v>
      </c>
      <c r="L78" t="s">
        <v>344</v>
      </c>
      <c r="M78" t="s">
        <v>347</v>
      </c>
      <c r="N78" t="s">
        <v>350</v>
      </c>
      <c r="O78" t="s">
        <v>354</v>
      </c>
      <c r="P78" t="s">
        <v>359</v>
      </c>
      <c r="Q78">
        <v>345.6</v>
      </c>
      <c r="R78">
        <v>6</v>
      </c>
      <c r="S78">
        <v>158.76</v>
      </c>
    </row>
    <row r="79" spans="1:19" x14ac:dyDescent="0.25">
      <c r="A79">
        <v>78</v>
      </c>
      <c r="B79" s="2">
        <v>44546</v>
      </c>
      <c r="C79">
        <v>2021</v>
      </c>
      <c r="D79" t="s">
        <v>29</v>
      </c>
      <c r="E79" s="2">
        <v>44551</v>
      </c>
      <c r="F79">
        <v>5</v>
      </c>
      <c r="G79" t="s">
        <v>33</v>
      </c>
      <c r="H79" t="s">
        <v>92</v>
      </c>
      <c r="I79" t="s">
        <v>324</v>
      </c>
      <c r="J79" t="s">
        <v>326</v>
      </c>
      <c r="K79" t="s">
        <v>331</v>
      </c>
      <c r="L79" t="s">
        <v>340</v>
      </c>
      <c r="M79" t="s">
        <v>347</v>
      </c>
      <c r="N79" t="s">
        <v>351</v>
      </c>
      <c r="O79" t="s">
        <v>355</v>
      </c>
      <c r="P79" t="s">
        <v>361</v>
      </c>
      <c r="Q79">
        <v>33.549999999999997</v>
      </c>
      <c r="R79">
        <v>4</v>
      </c>
      <c r="S79">
        <v>-8.0399999999999991</v>
      </c>
    </row>
    <row r="80" spans="1:19" x14ac:dyDescent="0.25">
      <c r="A80">
        <v>79</v>
      </c>
      <c r="B80" s="2">
        <v>44631</v>
      </c>
      <c r="C80">
        <v>2022</v>
      </c>
      <c r="D80" t="s">
        <v>24</v>
      </c>
      <c r="E80" s="2">
        <v>44636</v>
      </c>
      <c r="F80">
        <v>5</v>
      </c>
      <c r="G80" t="s">
        <v>34</v>
      </c>
      <c r="H80" t="s">
        <v>102</v>
      </c>
      <c r="I80" t="s">
        <v>325</v>
      </c>
      <c r="J80" t="s">
        <v>327</v>
      </c>
      <c r="K80" t="s">
        <v>334</v>
      </c>
      <c r="L80" t="s">
        <v>334</v>
      </c>
      <c r="M80" t="s">
        <v>349</v>
      </c>
      <c r="N80" t="s">
        <v>350</v>
      </c>
      <c r="O80" t="s">
        <v>353</v>
      </c>
      <c r="P80" t="s">
        <v>362</v>
      </c>
      <c r="Q80">
        <v>328.38</v>
      </c>
      <c r="R80">
        <v>9</v>
      </c>
      <c r="S80">
        <v>51.16</v>
      </c>
    </row>
    <row r="81" spans="1:19" x14ac:dyDescent="0.25">
      <c r="A81">
        <v>80</v>
      </c>
      <c r="B81" s="2">
        <v>44972</v>
      </c>
      <c r="C81">
        <v>2023</v>
      </c>
      <c r="D81" t="s">
        <v>28</v>
      </c>
      <c r="E81" s="2">
        <v>44978</v>
      </c>
      <c r="F81">
        <v>6</v>
      </c>
      <c r="G81" t="s">
        <v>33</v>
      </c>
      <c r="H81" t="s">
        <v>100</v>
      </c>
      <c r="I81" t="s">
        <v>323</v>
      </c>
      <c r="J81" t="s">
        <v>326</v>
      </c>
      <c r="K81" t="s">
        <v>331</v>
      </c>
      <c r="L81" t="s">
        <v>340</v>
      </c>
      <c r="M81" t="s">
        <v>347</v>
      </c>
      <c r="N81" t="s">
        <v>350</v>
      </c>
      <c r="O81" t="s">
        <v>353</v>
      </c>
      <c r="P81" t="s">
        <v>361</v>
      </c>
      <c r="Q81">
        <v>331.86</v>
      </c>
      <c r="R81">
        <v>4</v>
      </c>
      <c r="S81">
        <v>-47.87</v>
      </c>
    </row>
    <row r="82" spans="1:19" x14ac:dyDescent="0.25">
      <c r="A82">
        <v>81</v>
      </c>
      <c r="B82" s="2">
        <v>45061</v>
      </c>
      <c r="C82">
        <v>2023</v>
      </c>
      <c r="D82" t="s">
        <v>19</v>
      </c>
      <c r="E82" s="2">
        <v>45062</v>
      </c>
      <c r="F82">
        <v>1</v>
      </c>
      <c r="G82" t="s">
        <v>32</v>
      </c>
      <c r="H82" t="s">
        <v>103</v>
      </c>
      <c r="I82" t="s">
        <v>324</v>
      </c>
      <c r="J82" t="s">
        <v>327</v>
      </c>
      <c r="K82" t="s">
        <v>334</v>
      </c>
      <c r="L82" t="s">
        <v>334</v>
      </c>
      <c r="M82" t="s">
        <v>349</v>
      </c>
      <c r="N82" t="s">
        <v>350</v>
      </c>
      <c r="O82" t="s">
        <v>354</v>
      </c>
      <c r="P82" t="s">
        <v>359</v>
      </c>
      <c r="Q82">
        <v>342.13</v>
      </c>
      <c r="R82">
        <v>10</v>
      </c>
      <c r="S82">
        <v>141.02000000000001</v>
      </c>
    </row>
    <row r="83" spans="1:19" x14ac:dyDescent="0.25">
      <c r="A83">
        <v>82</v>
      </c>
      <c r="B83" s="2">
        <v>44244</v>
      </c>
      <c r="C83">
        <v>2021</v>
      </c>
      <c r="D83" t="s">
        <v>28</v>
      </c>
      <c r="E83" s="2">
        <v>44254</v>
      </c>
      <c r="F83">
        <v>10</v>
      </c>
      <c r="G83" t="s">
        <v>33</v>
      </c>
      <c r="H83" t="s">
        <v>104</v>
      </c>
      <c r="I83" t="s">
        <v>323</v>
      </c>
      <c r="J83" t="s">
        <v>326</v>
      </c>
      <c r="K83" t="s">
        <v>331</v>
      </c>
      <c r="L83" t="s">
        <v>340</v>
      </c>
      <c r="M83" t="s">
        <v>347</v>
      </c>
      <c r="N83" t="s">
        <v>350</v>
      </c>
      <c r="O83" t="s">
        <v>354</v>
      </c>
      <c r="P83" t="s">
        <v>360</v>
      </c>
      <c r="Q83">
        <v>115.41</v>
      </c>
      <c r="R83">
        <v>6</v>
      </c>
      <c r="S83">
        <v>53.74</v>
      </c>
    </row>
    <row r="84" spans="1:19" x14ac:dyDescent="0.25">
      <c r="A84">
        <v>83</v>
      </c>
      <c r="B84" s="2">
        <v>45561</v>
      </c>
      <c r="C84">
        <v>2024</v>
      </c>
      <c r="D84" t="s">
        <v>25</v>
      </c>
      <c r="E84" s="2">
        <v>45568</v>
      </c>
      <c r="F84">
        <v>7</v>
      </c>
      <c r="G84" t="s">
        <v>32</v>
      </c>
      <c r="H84" t="s">
        <v>105</v>
      </c>
      <c r="I84" t="s">
        <v>323</v>
      </c>
      <c r="J84" t="s">
        <v>327</v>
      </c>
      <c r="K84" t="s">
        <v>337</v>
      </c>
      <c r="L84" t="s">
        <v>344</v>
      </c>
      <c r="M84" t="s">
        <v>347</v>
      </c>
      <c r="N84" t="s">
        <v>350</v>
      </c>
      <c r="O84" t="s">
        <v>354</v>
      </c>
      <c r="P84" t="s">
        <v>361</v>
      </c>
      <c r="Q84">
        <v>459.27</v>
      </c>
      <c r="R84">
        <v>9</v>
      </c>
      <c r="S84">
        <v>103.14</v>
      </c>
    </row>
    <row r="85" spans="1:19" x14ac:dyDescent="0.25">
      <c r="A85">
        <v>84</v>
      </c>
      <c r="B85" s="2">
        <v>44437</v>
      </c>
      <c r="C85">
        <v>2021</v>
      </c>
      <c r="D85" t="s">
        <v>27</v>
      </c>
      <c r="E85" s="2">
        <v>44447</v>
      </c>
      <c r="F85">
        <v>10</v>
      </c>
      <c r="G85" t="s">
        <v>31</v>
      </c>
      <c r="H85" t="s">
        <v>106</v>
      </c>
      <c r="I85" t="s">
        <v>324</v>
      </c>
      <c r="J85" t="s">
        <v>327</v>
      </c>
      <c r="K85" t="s">
        <v>330</v>
      </c>
      <c r="L85" t="s">
        <v>339</v>
      </c>
      <c r="M85" t="s">
        <v>346</v>
      </c>
      <c r="N85" t="s">
        <v>352</v>
      </c>
      <c r="O85" t="s">
        <v>357</v>
      </c>
      <c r="P85" t="s">
        <v>360</v>
      </c>
      <c r="Q85">
        <v>193.71</v>
      </c>
      <c r="R85">
        <v>4</v>
      </c>
      <c r="S85">
        <v>88.16</v>
      </c>
    </row>
    <row r="86" spans="1:19" x14ac:dyDescent="0.25">
      <c r="A86">
        <v>85</v>
      </c>
      <c r="B86" s="2">
        <v>44243</v>
      </c>
      <c r="C86">
        <v>2021</v>
      </c>
      <c r="D86" t="s">
        <v>28</v>
      </c>
      <c r="E86" s="2">
        <v>44253</v>
      </c>
      <c r="F86">
        <v>10</v>
      </c>
      <c r="G86" t="s">
        <v>31</v>
      </c>
      <c r="H86" t="s">
        <v>107</v>
      </c>
      <c r="I86" t="s">
        <v>323</v>
      </c>
      <c r="J86" t="s">
        <v>327</v>
      </c>
      <c r="K86" t="s">
        <v>334</v>
      </c>
      <c r="L86" t="s">
        <v>334</v>
      </c>
      <c r="M86" t="s">
        <v>349</v>
      </c>
      <c r="N86" t="s">
        <v>352</v>
      </c>
      <c r="O86" t="s">
        <v>358</v>
      </c>
      <c r="P86" t="s">
        <v>362</v>
      </c>
      <c r="Q86">
        <v>362.45</v>
      </c>
      <c r="R86">
        <v>4</v>
      </c>
      <c r="S86">
        <v>-94.43</v>
      </c>
    </row>
    <row r="87" spans="1:19" x14ac:dyDescent="0.25">
      <c r="A87">
        <v>86</v>
      </c>
      <c r="B87" s="2">
        <v>45606</v>
      </c>
      <c r="C87">
        <v>2024</v>
      </c>
      <c r="D87" t="s">
        <v>30</v>
      </c>
      <c r="E87" s="2">
        <v>45608</v>
      </c>
      <c r="F87">
        <v>2</v>
      </c>
      <c r="G87" t="s">
        <v>31</v>
      </c>
      <c r="H87" t="s">
        <v>43</v>
      </c>
      <c r="I87" t="s">
        <v>325</v>
      </c>
      <c r="J87" t="s">
        <v>328</v>
      </c>
      <c r="K87" t="s">
        <v>335</v>
      </c>
      <c r="L87" t="s">
        <v>335</v>
      </c>
      <c r="M87" t="s">
        <v>345</v>
      </c>
      <c r="N87" t="s">
        <v>350</v>
      </c>
      <c r="O87" t="s">
        <v>353</v>
      </c>
      <c r="P87" t="s">
        <v>360</v>
      </c>
      <c r="Q87">
        <v>396.85</v>
      </c>
      <c r="R87">
        <v>1</v>
      </c>
      <c r="S87">
        <v>83.66</v>
      </c>
    </row>
    <row r="88" spans="1:19" x14ac:dyDescent="0.25">
      <c r="A88">
        <v>87</v>
      </c>
      <c r="B88" s="2">
        <v>44531</v>
      </c>
      <c r="C88">
        <v>2021</v>
      </c>
      <c r="D88" t="s">
        <v>29</v>
      </c>
      <c r="E88" s="2">
        <v>44535</v>
      </c>
      <c r="F88">
        <v>4</v>
      </c>
      <c r="G88" t="s">
        <v>31</v>
      </c>
      <c r="H88" t="s">
        <v>108</v>
      </c>
      <c r="I88" t="s">
        <v>323</v>
      </c>
      <c r="J88" t="s">
        <v>326</v>
      </c>
      <c r="K88" t="s">
        <v>329</v>
      </c>
      <c r="L88" t="s">
        <v>338</v>
      </c>
      <c r="M88" t="s">
        <v>345</v>
      </c>
      <c r="N88" t="s">
        <v>352</v>
      </c>
      <c r="O88" t="s">
        <v>357</v>
      </c>
      <c r="P88" t="s">
        <v>359</v>
      </c>
      <c r="Q88">
        <v>46.17</v>
      </c>
      <c r="R88">
        <v>1</v>
      </c>
      <c r="S88">
        <v>2.2599999999999998</v>
      </c>
    </row>
    <row r="89" spans="1:19" x14ac:dyDescent="0.25">
      <c r="A89">
        <v>88</v>
      </c>
      <c r="B89" s="2">
        <v>44915</v>
      </c>
      <c r="C89">
        <v>2022</v>
      </c>
      <c r="D89" t="s">
        <v>29</v>
      </c>
      <c r="E89" s="2">
        <v>44922</v>
      </c>
      <c r="F89">
        <v>7</v>
      </c>
      <c r="G89" t="s">
        <v>32</v>
      </c>
      <c r="H89" t="s">
        <v>109</v>
      </c>
      <c r="I89" t="s">
        <v>324</v>
      </c>
      <c r="J89" t="s">
        <v>327</v>
      </c>
      <c r="K89" t="s">
        <v>330</v>
      </c>
      <c r="L89" t="s">
        <v>339</v>
      </c>
      <c r="M89" t="s">
        <v>346</v>
      </c>
      <c r="N89" t="s">
        <v>350</v>
      </c>
      <c r="O89" t="s">
        <v>354</v>
      </c>
      <c r="P89" t="s">
        <v>361</v>
      </c>
      <c r="Q89">
        <v>496.08</v>
      </c>
      <c r="R89">
        <v>6</v>
      </c>
      <c r="S89">
        <v>106.27</v>
      </c>
    </row>
    <row r="90" spans="1:19" x14ac:dyDescent="0.25">
      <c r="A90">
        <v>89</v>
      </c>
      <c r="B90" s="2">
        <v>44917</v>
      </c>
      <c r="C90">
        <v>2022</v>
      </c>
      <c r="D90" t="s">
        <v>29</v>
      </c>
      <c r="E90" s="2">
        <v>44920</v>
      </c>
      <c r="F90">
        <v>3</v>
      </c>
      <c r="G90" t="s">
        <v>33</v>
      </c>
      <c r="H90" t="s">
        <v>110</v>
      </c>
      <c r="I90" t="s">
        <v>323</v>
      </c>
      <c r="J90" t="s">
        <v>326</v>
      </c>
      <c r="K90" t="s">
        <v>333</v>
      </c>
      <c r="L90" t="s">
        <v>342</v>
      </c>
      <c r="M90" t="s">
        <v>345</v>
      </c>
      <c r="N90" t="s">
        <v>350</v>
      </c>
      <c r="O90" t="s">
        <v>354</v>
      </c>
      <c r="P90" t="s">
        <v>361</v>
      </c>
      <c r="Q90">
        <v>451.39</v>
      </c>
      <c r="R90">
        <v>3</v>
      </c>
      <c r="S90">
        <v>-127.45</v>
      </c>
    </row>
    <row r="91" spans="1:19" x14ac:dyDescent="0.25">
      <c r="A91">
        <v>90</v>
      </c>
      <c r="B91" s="2">
        <v>45357</v>
      </c>
      <c r="C91">
        <v>2024</v>
      </c>
      <c r="D91" t="s">
        <v>24</v>
      </c>
      <c r="E91" s="2">
        <v>45364</v>
      </c>
      <c r="F91">
        <v>7</v>
      </c>
      <c r="G91" t="s">
        <v>34</v>
      </c>
      <c r="H91" t="s">
        <v>111</v>
      </c>
      <c r="I91" t="s">
        <v>325</v>
      </c>
      <c r="J91" t="s">
        <v>327</v>
      </c>
      <c r="K91" t="s">
        <v>330</v>
      </c>
      <c r="L91" t="s">
        <v>339</v>
      </c>
      <c r="M91" t="s">
        <v>346</v>
      </c>
      <c r="N91" t="s">
        <v>352</v>
      </c>
      <c r="O91" t="s">
        <v>357</v>
      </c>
      <c r="P91" t="s">
        <v>359</v>
      </c>
      <c r="Q91">
        <v>52.26</v>
      </c>
      <c r="R91">
        <v>9</v>
      </c>
      <c r="S91">
        <v>6.14</v>
      </c>
    </row>
    <row r="92" spans="1:19" x14ac:dyDescent="0.25">
      <c r="A92">
        <v>91</v>
      </c>
      <c r="B92" s="2">
        <v>45029</v>
      </c>
      <c r="C92">
        <v>2023</v>
      </c>
      <c r="D92" t="s">
        <v>26</v>
      </c>
      <c r="E92" s="2">
        <v>45030</v>
      </c>
      <c r="F92">
        <v>1</v>
      </c>
      <c r="G92" t="s">
        <v>34</v>
      </c>
      <c r="H92" t="s">
        <v>112</v>
      </c>
      <c r="I92" t="s">
        <v>325</v>
      </c>
      <c r="J92" t="s">
        <v>328</v>
      </c>
      <c r="K92" t="s">
        <v>335</v>
      </c>
      <c r="L92" t="s">
        <v>335</v>
      </c>
      <c r="M92" t="s">
        <v>345</v>
      </c>
      <c r="N92" t="s">
        <v>350</v>
      </c>
      <c r="O92" t="s">
        <v>353</v>
      </c>
      <c r="P92" t="s">
        <v>359</v>
      </c>
      <c r="Q92">
        <v>118.81</v>
      </c>
      <c r="R92">
        <v>4</v>
      </c>
      <c r="S92">
        <v>45.2</v>
      </c>
    </row>
    <row r="93" spans="1:19" x14ac:dyDescent="0.25">
      <c r="A93">
        <v>92</v>
      </c>
      <c r="B93" s="2">
        <v>45560</v>
      </c>
      <c r="C93">
        <v>2024</v>
      </c>
      <c r="D93" t="s">
        <v>25</v>
      </c>
      <c r="E93" s="2">
        <v>45563</v>
      </c>
      <c r="F93">
        <v>3</v>
      </c>
      <c r="G93" t="s">
        <v>33</v>
      </c>
      <c r="H93" t="s">
        <v>113</v>
      </c>
      <c r="I93" t="s">
        <v>325</v>
      </c>
      <c r="J93" t="s">
        <v>327</v>
      </c>
      <c r="K93" t="s">
        <v>330</v>
      </c>
      <c r="L93" t="s">
        <v>339</v>
      </c>
      <c r="M93" t="s">
        <v>346</v>
      </c>
      <c r="N93" t="s">
        <v>352</v>
      </c>
      <c r="O93" t="s">
        <v>358</v>
      </c>
      <c r="P93" t="s">
        <v>362</v>
      </c>
      <c r="Q93">
        <v>145.61000000000001</v>
      </c>
      <c r="R93">
        <v>6</v>
      </c>
      <c r="S93">
        <v>57.2</v>
      </c>
    </row>
    <row r="94" spans="1:19" x14ac:dyDescent="0.25">
      <c r="A94">
        <v>93</v>
      </c>
      <c r="B94" s="2">
        <v>45983</v>
      </c>
      <c r="C94">
        <v>2025</v>
      </c>
      <c r="D94" t="s">
        <v>30</v>
      </c>
      <c r="E94" s="2">
        <v>45986</v>
      </c>
      <c r="F94">
        <v>3</v>
      </c>
      <c r="G94" t="s">
        <v>32</v>
      </c>
      <c r="H94" t="s">
        <v>78</v>
      </c>
      <c r="I94" t="s">
        <v>323</v>
      </c>
      <c r="J94" t="s">
        <v>326</v>
      </c>
      <c r="K94" t="s">
        <v>333</v>
      </c>
      <c r="L94" t="s">
        <v>342</v>
      </c>
      <c r="M94" t="s">
        <v>345</v>
      </c>
      <c r="N94" t="s">
        <v>352</v>
      </c>
      <c r="O94" t="s">
        <v>357</v>
      </c>
      <c r="P94" t="s">
        <v>360</v>
      </c>
      <c r="Q94">
        <v>315.47000000000003</v>
      </c>
      <c r="R94">
        <v>7</v>
      </c>
      <c r="S94">
        <v>3.07</v>
      </c>
    </row>
    <row r="95" spans="1:19" x14ac:dyDescent="0.25">
      <c r="A95">
        <v>94</v>
      </c>
      <c r="B95" s="2">
        <v>44648</v>
      </c>
      <c r="C95">
        <v>2022</v>
      </c>
      <c r="D95" t="s">
        <v>24</v>
      </c>
      <c r="E95" s="2">
        <v>44650</v>
      </c>
      <c r="F95">
        <v>2</v>
      </c>
      <c r="G95" t="s">
        <v>32</v>
      </c>
      <c r="H95" t="s">
        <v>114</v>
      </c>
      <c r="I95" t="s">
        <v>323</v>
      </c>
      <c r="J95" t="s">
        <v>327</v>
      </c>
      <c r="K95" t="s">
        <v>337</v>
      </c>
      <c r="L95" t="s">
        <v>344</v>
      </c>
      <c r="M95" t="s">
        <v>347</v>
      </c>
      <c r="N95" t="s">
        <v>351</v>
      </c>
      <c r="O95" t="s">
        <v>356</v>
      </c>
      <c r="P95" t="s">
        <v>361</v>
      </c>
      <c r="Q95">
        <v>126.33</v>
      </c>
      <c r="R95">
        <v>1</v>
      </c>
      <c r="S95">
        <v>16.899999999999999</v>
      </c>
    </row>
    <row r="96" spans="1:19" x14ac:dyDescent="0.25">
      <c r="A96">
        <v>95</v>
      </c>
      <c r="B96" s="2">
        <v>44148</v>
      </c>
      <c r="C96">
        <v>2020</v>
      </c>
      <c r="D96" t="s">
        <v>30</v>
      </c>
      <c r="E96" s="2">
        <v>44153</v>
      </c>
      <c r="F96">
        <v>5</v>
      </c>
      <c r="G96" t="s">
        <v>32</v>
      </c>
      <c r="H96" t="s">
        <v>115</v>
      </c>
      <c r="I96" t="s">
        <v>324</v>
      </c>
      <c r="J96" t="s">
        <v>326</v>
      </c>
      <c r="K96" t="s">
        <v>333</v>
      </c>
      <c r="L96" t="s">
        <v>342</v>
      </c>
      <c r="M96" t="s">
        <v>345</v>
      </c>
      <c r="N96" t="s">
        <v>351</v>
      </c>
      <c r="O96" t="s">
        <v>356</v>
      </c>
      <c r="P96" t="s">
        <v>359</v>
      </c>
      <c r="Q96">
        <v>148.21</v>
      </c>
      <c r="R96">
        <v>3</v>
      </c>
      <c r="S96">
        <v>21.77</v>
      </c>
    </row>
    <row r="97" spans="1:19" x14ac:dyDescent="0.25">
      <c r="A97">
        <v>96</v>
      </c>
      <c r="B97" s="2">
        <v>45921</v>
      </c>
      <c r="C97">
        <v>2025</v>
      </c>
      <c r="D97" t="s">
        <v>25</v>
      </c>
      <c r="E97" s="2">
        <v>45928</v>
      </c>
      <c r="F97">
        <v>7</v>
      </c>
      <c r="G97" t="s">
        <v>33</v>
      </c>
      <c r="H97" t="s">
        <v>116</v>
      </c>
      <c r="I97" t="s">
        <v>324</v>
      </c>
      <c r="J97" t="s">
        <v>326</v>
      </c>
      <c r="K97" t="s">
        <v>331</v>
      </c>
      <c r="L97" t="s">
        <v>340</v>
      </c>
      <c r="M97" t="s">
        <v>347</v>
      </c>
      <c r="N97" t="s">
        <v>351</v>
      </c>
      <c r="O97" t="s">
        <v>355</v>
      </c>
      <c r="P97" t="s">
        <v>360</v>
      </c>
      <c r="Q97">
        <v>248.41</v>
      </c>
      <c r="R97">
        <v>2</v>
      </c>
      <c r="S97">
        <v>-1.21</v>
      </c>
    </row>
    <row r="98" spans="1:19" x14ac:dyDescent="0.25">
      <c r="A98">
        <v>97</v>
      </c>
      <c r="B98" s="2">
        <v>44065</v>
      </c>
      <c r="C98">
        <v>2020</v>
      </c>
      <c r="D98" t="s">
        <v>27</v>
      </c>
      <c r="E98" s="2">
        <v>44070</v>
      </c>
      <c r="F98">
        <v>5</v>
      </c>
      <c r="G98" t="s">
        <v>33</v>
      </c>
      <c r="H98" t="s">
        <v>117</v>
      </c>
      <c r="I98" t="s">
        <v>324</v>
      </c>
      <c r="J98" t="s">
        <v>328</v>
      </c>
      <c r="K98" t="s">
        <v>336</v>
      </c>
      <c r="L98" t="s">
        <v>343</v>
      </c>
      <c r="M98" t="s">
        <v>347</v>
      </c>
      <c r="N98" t="s">
        <v>351</v>
      </c>
      <c r="O98" t="s">
        <v>356</v>
      </c>
      <c r="P98" t="s">
        <v>359</v>
      </c>
      <c r="Q98">
        <v>37.57</v>
      </c>
      <c r="R98">
        <v>5</v>
      </c>
      <c r="S98">
        <v>18.5</v>
      </c>
    </row>
    <row r="99" spans="1:19" x14ac:dyDescent="0.25">
      <c r="A99">
        <v>98</v>
      </c>
      <c r="B99" s="2">
        <v>45303</v>
      </c>
      <c r="C99">
        <v>2024</v>
      </c>
      <c r="D99" t="s">
        <v>23</v>
      </c>
      <c r="E99" s="2">
        <v>45311</v>
      </c>
      <c r="F99">
        <v>8</v>
      </c>
      <c r="G99" t="s">
        <v>31</v>
      </c>
      <c r="H99" t="s">
        <v>118</v>
      </c>
      <c r="I99" t="s">
        <v>324</v>
      </c>
      <c r="J99" t="s">
        <v>328</v>
      </c>
      <c r="K99" t="s">
        <v>332</v>
      </c>
      <c r="L99" t="s">
        <v>341</v>
      </c>
      <c r="M99" t="s">
        <v>348</v>
      </c>
      <c r="N99" t="s">
        <v>352</v>
      </c>
      <c r="O99" t="s">
        <v>357</v>
      </c>
      <c r="P99" t="s">
        <v>359</v>
      </c>
      <c r="Q99">
        <v>448.49</v>
      </c>
      <c r="R99">
        <v>3</v>
      </c>
      <c r="S99">
        <v>-13.51</v>
      </c>
    </row>
    <row r="100" spans="1:19" x14ac:dyDescent="0.25">
      <c r="A100">
        <v>99</v>
      </c>
      <c r="B100" s="2">
        <v>45130</v>
      </c>
      <c r="C100">
        <v>2023</v>
      </c>
      <c r="D100" t="s">
        <v>20</v>
      </c>
      <c r="E100" s="2">
        <v>45132</v>
      </c>
      <c r="F100">
        <v>2</v>
      </c>
      <c r="G100" t="s">
        <v>32</v>
      </c>
      <c r="H100" t="s">
        <v>83</v>
      </c>
      <c r="I100" t="s">
        <v>323</v>
      </c>
      <c r="J100" t="s">
        <v>328</v>
      </c>
      <c r="K100" t="s">
        <v>336</v>
      </c>
      <c r="L100" t="s">
        <v>343</v>
      </c>
      <c r="M100" t="s">
        <v>347</v>
      </c>
      <c r="N100" t="s">
        <v>351</v>
      </c>
      <c r="O100" t="s">
        <v>356</v>
      </c>
      <c r="P100" t="s">
        <v>360</v>
      </c>
      <c r="Q100">
        <v>369.87</v>
      </c>
      <c r="R100">
        <v>8</v>
      </c>
      <c r="S100">
        <v>21.98</v>
      </c>
    </row>
    <row r="101" spans="1:19" x14ac:dyDescent="0.25">
      <c r="A101">
        <v>100</v>
      </c>
      <c r="B101" s="2">
        <v>45784</v>
      </c>
      <c r="C101">
        <v>2025</v>
      </c>
      <c r="D101" t="s">
        <v>19</v>
      </c>
      <c r="E101" s="2">
        <v>45788</v>
      </c>
      <c r="F101">
        <v>4</v>
      </c>
      <c r="G101" t="s">
        <v>34</v>
      </c>
      <c r="H101" t="s">
        <v>119</v>
      </c>
      <c r="I101" t="s">
        <v>325</v>
      </c>
      <c r="J101" t="s">
        <v>327</v>
      </c>
      <c r="K101" t="s">
        <v>330</v>
      </c>
      <c r="L101" t="s">
        <v>339</v>
      </c>
      <c r="M101" t="s">
        <v>346</v>
      </c>
      <c r="N101" t="s">
        <v>352</v>
      </c>
      <c r="O101" t="s">
        <v>358</v>
      </c>
      <c r="P101" t="s">
        <v>360</v>
      </c>
      <c r="Q101">
        <v>237.23</v>
      </c>
      <c r="R101">
        <v>5</v>
      </c>
      <c r="S101">
        <v>-38.75</v>
      </c>
    </row>
    <row r="102" spans="1:19" x14ac:dyDescent="0.25">
      <c r="A102">
        <v>101</v>
      </c>
      <c r="B102" s="2">
        <v>44423</v>
      </c>
      <c r="C102">
        <v>2021</v>
      </c>
      <c r="D102" t="s">
        <v>27</v>
      </c>
      <c r="E102" s="2">
        <v>44426</v>
      </c>
      <c r="F102">
        <v>3</v>
      </c>
      <c r="G102" t="s">
        <v>33</v>
      </c>
      <c r="H102" t="s">
        <v>93</v>
      </c>
      <c r="I102" t="s">
        <v>323</v>
      </c>
      <c r="J102" t="s">
        <v>328</v>
      </c>
      <c r="K102" t="s">
        <v>336</v>
      </c>
      <c r="L102" t="s">
        <v>343</v>
      </c>
      <c r="M102" t="s">
        <v>347</v>
      </c>
      <c r="N102" t="s">
        <v>351</v>
      </c>
      <c r="O102" t="s">
        <v>356</v>
      </c>
      <c r="P102" t="s">
        <v>362</v>
      </c>
      <c r="Q102">
        <v>376.2</v>
      </c>
      <c r="R102">
        <v>7</v>
      </c>
      <c r="S102">
        <v>128.32</v>
      </c>
    </row>
    <row r="103" spans="1:19" x14ac:dyDescent="0.25">
      <c r="A103">
        <v>102</v>
      </c>
      <c r="B103" s="2">
        <v>44179</v>
      </c>
      <c r="C103">
        <v>2020</v>
      </c>
      <c r="D103" t="s">
        <v>29</v>
      </c>
      <c r="E103" s="2">
        <v>44189</v>
      </c>
      <c r="F103">
        <v>10</v>
      </c>
      <c r="G103" t="s">
        <v>31</v>
      </c>
      <c r="H103" t="s">
        <v>120</v>
      </c>
      <c r="I103" t="s">
        <v>324</v>
      </c>
      <c r="J103" t="s">
        <v>326</v>
      </c>
      <c r="K103" t="s">
        <v>333</v>
      </c>
      <c r="L103" t="s">
        <v>342</v>
      </c>
      <c r="M103" t="s">
        <v>345</v>
      </c>
      <c r="N103" t="s">
        <v>350</v>
      </c>
      <c r="O103" t="s">
        <v>353</v>
      </c>
      <c r="P103" t="s">
        <v>360</v>
      </c>
      <c r="Q103">
        <v>426.5</v>
      </c>
      <c r="R103">
        <v>5</v>
      </c>
      <c r="S103">
        <v>87.58</v>
      </c>
    </row>
    <row r="104" spans="1:19" x14ac:dyDescent="0.25">
      <c r="A104">
        <v>103</v>
      </c>
      <c r="B104" s="2">
        <v>44490</v>
      </c>
      <c r="C104">
        <v>2021</v>
      </c>
      <c r="D104" t="s">
        <v>22</v>
      </c>
      <c r="E104" s="2">
        <v>44498</v>
      </c>
      <c r="F104">
        <v>8</v>
      </c>
      <c r="G104" t="s">
        <v>34</v>
      </c>
      <c r="H104" t="s">
        <v>121</v>
      </c>
      <c r="I104" t="s">
        <v>325</v>
      </c>
      <c r="J104" t="s">
        <v>328</v>
      </c>
      <c r="K104" t="s">
        <v>332</v>
      </c>
      <c r="L104" t="s">
        <v>341</v>
      </c>
      <c r="M104" t="s">
        <v>348</v>
      </c>
      <c r="N104" t="s">
        <v>350</v>
      </c>
      <c r="O104" t="s">
        <v>353</v>
      </c>
      <c r="P104" t="s">
        <v>362</v>
      </c>
      <c r="Q104">
        <v>209.5</v>
      </c>
      <c r="R104">
        <v>5</v>
      </c>
      <c r="S104">
        <v>52.57</v>
      </c>
    </row>
    <row r="105" spans="1:19" x14ac:dyDescent="0.25">
      <c r="A105">
        <v>104</v>
      </c>
      <c r="B105" s="2">
        <v>43964</v>
      </c>
      <c r="C105">
        <v>2020</v>
      </c>
      <c r="D105" t="s">
        <v>19</v>
      </c>
      <c r="E105" s="2">
        <v>43973</v>
      </c>
      <c r="F105">
        <v>9</v>
      </c>
      <c r="G105" t="s">
        <v>31</v>
      </c>
      <c r="H105" t="s">
        <v>122</v>
      </c>
      <c r="I105" t="s">
        <v>324</v>
      </c>
      <c r="J105" t="s">
        <v>328</v>
      </c>
      <c r="K105" t="s">
        <v>336</v>
      </c>
      <c r="L105" t="s">
        <v>343</v>
      </c>
      <c r="M105" t="s">
        <v>347</v>
      </c>
      <c r="N105" t="s">
        <v>352</v>
      </c>
      <c r="O105" t="s">
        <v>358</v>
      </c>
      <c r="P105" t="s">
        <v>360</v>
      </c>
      <c r="Q105">
        <v>237.7</v>
      </c>
      <c r="R105">
        <v>5</v>
      </c>
      <c r="S105">
        <v>-38.32</v>
      </c>
    </row>
    <row r="106" spans="1:19" x14ac:dyDescent="0.25">
      <c r="A106">
        <v>105</v>
      </c>
      <c r="B106" s="2">
        <v>44771</v>
      </c>
      <c r="C106">
        <v>2022</v>
      </c>
      <c r="D106" t="s">
        <v>20</v>
      </c>
      <c r="E106" s="2">
        <v>44777</v>
      </c>
      <c r="F106">
        <v>6</v>
      </c>
      <c r="G106" t="s">
        <v>33</v>
      </c>
      <c r="H106" t="s">
        <v>123</v>
      </c>
      <c r="I106" t="s">
        <v>323</v>
      </c>
      <c r="J106" t="s">
        <v>328</v>
      </c>
      <c r="K106" t="s">
        <v>336</v>
      </c>
      <c r="L106" t="s">
        <v>343</v>
      </c>
      <c r="M106" t="s">
        <v>347</v>
      </c>
      <c r="N106" t="s">
        <v>351</v>
      </c>
      <c r="O106" t="s">
        <v>356</v>
      </c>
      <c r="P106" t="s">
        <v>362</v>
      </c>
      <c r="Q106">
        <v>446.86</v>
      </c>
      <c r="R106">
        <v>4</v>
      </c>
      <c r="S106">
        <v>179.42</v>
      </c>
    </row>
    <row r="107" spans="1:19" x14ac:dyDescent="0.25">
      <c r="A107">
        <v>106</v>
      </c>
      <c r="B107" s="2">
        <v>44050</v>
      </c>
      <c r="C107">
        <v>2020</v>
      </c>
      <c r="D107" t="s">
        <v>27</v>
      </c>
      <c r="E107" s="2">
        <v>44056</v>
      </c>
      <c r="F107">
        <v>6</v>
      </c>
      <c r="G107" t="s">
        <v>34</v>
      </c>
      <c r="H107" t="s">
        <v>124</v>
      </c>
      <c r="I107" t="s">
        <v>323</v>
      </c>
      <c r="J107" t="s">
        <v>327</v>
      </c>
      <c r="K107" t="s">
        <v>330</v>
      </c>
      <c r="L107" t="s">
        <v>339</v>
      </c>
      <c r="M107" t="s">
        <v>346</v>
      </c>
      <c r="N107" t="s">
        <v>351</v>
      </c>
      <c r="O107" t="s">
        <v>356</v>
      </c>
      <c r="P107" t="s">
        <v>359</v>
      </c>
      <c r="Q107">
        <v>197.96</v>
      </c>
      <c r="R107">
        <v>6</v>
      </c>
      <c r="S107">
        <v>55.94</v>
      </c>
    </row>
    <row r="108" spans="1:19" x14ac:dyDescent="0.25">
      <c r="A108">
        <v>107</v>
      </c>
      <c r="B108" s="2">
        <v>44324</v>
      </c>
      <c r="C108">
        <v>2021</v>
      </c>
      <c r="D108" t="s">
        <v>19</v>
      </c>
      <c r="E108" s="2">
        <v>44330</v>
      </c>
      <c r="F108">
        <v>6</v>
      </c>
      <c r="G108" t="s">
        <v>31</v>
      </c>
      <c r="H108" t="s">
        <v>125</v>
      </c>
      <c r="I108" t="s">
        <v>324</v>
      </c>
      <c r="J108" t="s">
        <v>328</v>
      </c>
      <c r="K108" t="s">
        <v>335</v>
      </c>
      <c r="L108" t="s">
        <v>335</v>
      </c>
      <c r="M108" t="s">
        <v>345</v>
      </c>
      <c r="N108" t="s">
        <v>350</v>
      </c>
      <c r="O108" t="s">
        <v>353</v>
      </c>
      <c r="P108" t="s">
        <v>359</v>
      </c>
      <c r="Q108">
        <v>261.55</v>
      </c>
      <c r="R108">
        <v>2</v>
      </c>
      <c r="S108">
        <v>35.880000000000003</v>
      </c>
    </row>
    <row r="109" spans="1:19" x14ac:dyDescent="0.25">
      <c r="A109">
        <v>108</v>
      </c>
      <c r="B109" s="2">
        <v>44983</v>
      </c>
      <c r="C109">
        <v>2023</v>
      </c>
      <c r="D109" t="s">
        <v>28</v>
      </c>
      <c r="E109" s="2">
        <v>44989</v>
      </c>
      <c r="F109">
        <v>6</v>
      </c>
      <c r="G109" t="s">
        <v>33</v>
      </c>
      <c r="H109" t="s">
        <v>110</v>
      </c>
      <c r="I109" t="s">
        <v>323</v>
      </c>
      <c r="J109" t="s">
        <v>328</v>
      </c>
      <c r="K109" t="s">
        <v>336</v>
      </c>
      <c r="L109" t="s">
        <v>343</v>
      </c>
      <c r="M109" t="s">
        <v>347</v>
      </c>
      <c r="N109" t="s">
        <v>350</v>
      </c>
      <c r="O109" t="s">
        <v>354</v>
      </c>
      <c r="P109" t="s">
        <v>361</v>
      </c>
      <c r="Q109">
        <v>230.12</v>
      </c>
      <c r="R109">
        <v>2</v>
      </c>
      <c r="S109">
        <v>87.21</v>
      </c>
    </row>
    <row r="110" spans="1:19" x14ac:dyDescent="0.25">
      <c r="A110">
        <v>109</v>
      </c>
      <c r="B110" s="2">
        <v>45014</v>
      </c>
      <c r="C110">
        <v>2023</v>
      </c>
      <c r="D110" t="s">
        <v>24</v>
      </c>
      <c r="E110" s="2">
        <v>45015</v>
      </c>
      <c r="F110">
        <v>1</v>
      </c>
      <c r="G110" t="s">
        <v>33</v>
      </c>
      <c r="H110" t="s">
        <v>126</v>
      </c>
      <c r="I110" t="s">
        <v>325</v>
      </c>
      <c r="J110" t="s">
        <v>326</v>
      </c>
      <c r="K110" t="s">
        <v>333</v>
      </c>
      <c r="L110" t="s">
        <v>342</v>
      </c>
      <c r="M110" t="s">
        <v>345</v>
      </c>
      <c r="N110" t="s">
        <v>351</v>
      </c>
      <c r="O110" t="s">
        <v>355</v>
      </c>
      <c r="P110" t="s">
        <v>359</v>
      </c>
      <c r="Q110">
        <v>276.86</v>
      </c>
      <c r="R110">
        <v>9</v>
      </c>
      <c r="S110">
        <v>-53.35</v>
      </c>
    </row>
    <row r="111" spans="1:19" x14ac:dyDescent="0.25">
      <c r="A111">
        <v>110</v>
      </c>
      <c r="B111" s="2">
        <v>45232</v>
      </c>
      <c r="C111">
        <v>2023</v>
      </c>
      <c r="D111" t="s">
        <v>30</v>
      </c>
      <c r="E111" s="2">
        <v>45237</v>
      </c>
      <c r="F111">
        <v>5</v>
      </c>
      <c r="G111" t="s">
        <v>31</v>
      </c>
      <c r="H111" t="s">
        <v>127</v>
      </c>
      <c r="I111" t="s">
        <v>324</v>
      </c>
      <c r="J111" t="s">
        <v>328</v>
      </c>
      <c r="K111" t="s">
        <v>332</v>
      </c>
      <c r="L111" t="s">
        <v>341</v>
      </c>
      <c r="M111" t="s">
        <v>348</v>
      </c>
      <c r="N111" t="s">
        <v>351</v>
      </c>
      <c r="O111" t="s">
        <v>355</v>
      </c>
      <c r="P111" t="s">
        <v>361</v>
      </c>
      <c r="Q111">
        <v>69.97</v>
      </c>
      <c r="R111">
        <v>1</v>
      </c>
      <c r="S111">
        <v>32.83</v>
      </c>
    </row>
    <row r="112" spans="1:19" x14ac:dyDescent="0.25">
      <c r="A112">
        <v>111</v>
      </c>
      <c r="B112" s="2">
        <v>44577</v>
      </c>
      <c r="C112">
        <v>2022</v>
      </c>
      <c r="D112" t="s">
        <v>23</v>
      </c>
      <c r="E112" s="2">
        <v>44582</v>
      </c>
      <c r="F112">
        <v>5</v>
      </c>
      <c r="G112" t="s">
        <v>33</v>
      </c>
      <c r="H112" t="s">
        <v>128</v>
      </c>
      <c r="I112" t="s">
        <v>324</v>
      </c>
      <c r="J112" t="s">
        <v>326</v>
      </c>
      <c r="K112" t="s">
        <v>333</v>
      </c>
      <c r="L112" t="s">
        <v>342</v>
      </c>
      <c r="M112" t="s">
        <v>345</v>
      </c>
      <c r="N112" t="s">
        <v>351</v>
      </c>
      <c r="O112" t="s">
        <v>355</v>
      </c>
      <c r="P112" t="s">
        <v>362</v>
      </c>
      <c r="Q112">
        <v>489.99</v>
      </c>
      <c r="R112">
        <v>7</v>
      </c>
      <c r="S112">
        <v>122.56</v>
      </c>
    </row>
    <row r="113" spans="1:19" x14ac:dyDescent="0.25">
      <c r="A113">
        <v>112</v>
      </c>
      <c r="B113" s="2">
        <v>45959</v>
      </c>
      <c r="C113">
        <v>2025</v>
      </c>
      <c r="D113" t="s">
        <v>22</v>
      </c>
      <c r="E113" s="2">
        <v>45960</v>
      </c>
      <c r="F113">
        <v>1</v>
      </c>
      <c r="G113" t="s">
        <v>34</v>
      </c>
      <c r="H113" t="s">
        <v>129</v>
      </c>
      <c r="I113" t="s">
        <v>324</v>
      </c>
      <c r="J113" t="s">
        <v>328</v>
      </c>
      <c r="K113" t="s">
        <v>335</v>
      </c>
      <c r="L113" t="s">
        <v>335</v>
      </c>
      <c r="M113" t="s">
        <v>345</v>
      </c>
      <c r="N113" t="s">
        <v>350</v>
      </c>
      <c r="O113" t="s">
        <v>354</v>
      </c>
      <c r="P113" t="s">
        <v>360</v>
      </c>
      <c r="Q113">
        <v>114.09</v>
      </c>
      <c r="R113">
        <v>1</v>
      </c>
      <c r="S113">
        <v>-13.61</v>
      </c>
    </row>
    <row r="114" spans="1:19" x14ac:dyDescent="0.25">
      <c r="A114">
        <v>113</v>
      </c>
      <c r="B114" s="2">
        <v>44040</v>
      </c>
      <c r="C114">
        <v>2020</v>
      </c>
      <c r="D114" t="s">
        <v>20</v>
      </c>
      <c r="E114" s="2">
        <v>44050</v>
      </c>
      <c r="F114">
        <v>10</v>
      </c>
      <c r="G114" t="s">
        <v>34</v>
      </c>
      <c r="H114" t="s">
        <v>58</v>
      </c>
      <c r="I114" t="s">
        <v>325</v>
      </c>
      <c r="J114" t="s">
        <v>328</v>
      </c>
      <c r="K114" t="s">
        <v>336</v>
      </c>
      <c r="L114" t="s">
        <v>343</v>
      </c>
      <c r="M114" t="s">
        <v>347</v>
      </c>
      <c r="N114" t="s">
        <v>350</v>
      </c>
      <c r="O114" t="s">
        <v>354</v>
      </c>
      <c r="P114" t="s">
        <v>359</v>
      </c>
      <c r="Q114">
        <v>491.9</v>
      </c>
      <c r="R114">
        <v>1</v>
      </c>
      <c r="S114">
        <v>-107.11</v>
      </c>
    </row>
    <row r="115" spans="1:19" x14ac:dyDescent="0.25">
      <c r="A115">
        <v>114</v>
      </c>
      <c r="B115" s="2">
        <v>44686</v>
      </c>
      <c r="C115">
        <v>2022</v>
      </c>
      <c r="D115" t="s">
        <v>19</v>
      </c>
      <c r="E115" s="2">
        <v>44689</v>
      </c>
      <c r="F115">
        <v>3</v>
      </c>
      <c r="G115" t="s">
        <v>31</v>
      </c>
      <c r="H115" t="s">
        <v>130</v>
      </c>
      <c r="I115" t="s">
        <v>325</v>
      </c>
      <c r="J115" t="s">
        <v>327</v>
      </c>
      <c r="K115" t="s">
        <v>334</v>
      </c>
      <c r="L115" t="s">
        <v>334</v>
      </c>
      <c r="M115" t="s">
        <v>349</v>
      </c>
      <c r="N115" t="s">
        <v>351</v>
      </c>
      <c r="O115" t="s">
        <v>356</v>
      </c>
      <c r="P115" t="s">
        <v>359</v>
      </c>
      <c r="Q115">
        <v>359.01</v>
      </c>
      <c r="R115">
        <v>4</v>
      </c>
      <c r="S115">
        <v>15.82</v>
      </c>
    </row>
    <row r="116" spans="1:19" x14ac:dyDescent="0.25">
      <c r="A116">
        <v>115</v>
      </c>
      <c r="B116" s="2">
        <v>44273</v>
      </c>
      <c r="C116">
        <v>2021</v>
      </c>
      <c r="D116" t="s">
        <v>24</v>
      </c>
      <c r="E116" s="2">
        <v>44283</v>
      </c>
      <c r="F116">
        <v>10</v>
      </c>
      <c r="G116" t="s">
        <v>31</v>
      </c>
      <c r="H116" t="s">
        <v>131</v>
      </c>
      <c r="I116" t="s">
        <v>323</v>
      </c>
      <c r="J116" t="s">
        <v>328</v>
      </c>
      <c r="K116" t="s">
        <v>332</v>
      </c>
      <c r="L116" t="s">
        <v>341</v>
      </c>
      <c r="M116" t="s">
        <v>348</v>
      </c>
      <c r="N116" t="s">
        <v>351</v>
      </c>
      <c r="O116" t="s">
        <v>356</v>
      </c>
      <c r="P116" t="s">
        <v>362</v>
      </c>
      <c r="Q116">
        <v>467.66</v>
      </c>
      <c r="R116">
        <v>1</v>
      </c>
      <c r="S116">
        <v>0.78</v>
      </c>
    </row>
    <row r="117" spans="1:19" x14ac:dyDescent="0.25">
      <c r="A117">
        <v>116</v>
      </c>
      <c r="B117" s="2">
        <v>45412</v>
      </c>
      <c r="C117">
        <v>2024</v>
      </c>
      <c r="D117" t="s">
        <v>26</v>
      </c>
      <c r="E117" s="2">
        <v>45419</v>
      </c>
      <c r="F117">
        <v>7</v>
      </c>
      <c r="G117" t="s">
        <v>32</v>
      </c>
      <c r="H117" t="s">
        <v>132</v>
      </c>
      <c r="I117" t="s">
        <v>324</v>
      </c>
      <c r="J117" t="s">
        <v>326</v>
      </c>
      <c r="K117" t="s">
        <v>329</v>
      </c>
      <c r="L117" t="s">
        <v>338</v>
      </c>
      <c r="M117" t="s">
        <v>345</v>
      </c>
      <c r="N117" t="s">
        <v>350</v>
      </c>
      <c r="O117" t="s">
        <v>353</v>
      </c>
      <c r="P117" t="s">
        <v>360</v>
      </c>
      <c r="Q117">
        <v>218.14</v>
      </c>
      <c r="R117">
        <v>4</v>
      </c>
      <c r="S117">
        <v>-10.75</v>
      </c>
    </row>
    <row r="118" spans="1:19" x14ac:dyDescent="0.25">
      <c r="A118">
        <v>117</v>
      </c>
      <c r="B118" s="2">
        <v>44326</v>
      </c>
      <c r="C118">
        <v>2021</v>
      </c>
      <c r="D118" t="s">
        <v>19</v>
      </c>
      <c r="E118" s="2">
        <v>44332</v>
      </c>
      <c r="F118">
        <v>6</v>
      </c>
      <c r="G118" t="s">
        <v>33</v>
      </c>
      <c r="H118" t="s">
        <v>133</v>
      </c>
      <c r="I118" t="s">
        <v>323</v>
      </c>
      <c r="J118" t="s">
        <v>328</v>
      </c>
      <c r="K118" t="s">
        <v>332</v>
      </c>
      <c r="L118" t="s">
        <v>341</v>
      </c>
      <c r="M118" t="s">
        <v>348</v>
      </c>
      <c r="N118" t="s">
        <v>350</v>
      </c>
      <c r="O118" t="s">
        <v>353</v>
      </c>
      <c r="P118" t="s">
        <v>362</v>
      </c>
      <c r="Q118">
        <v>244</v>
      </c>
      <c r="R118">
        <v>6</v>
      </c>
      <c r="S118">
        <v>-71.88</v>
      </c>
    </row>
    <row r="119" spans="1:19" x14ac:dyDescent="0.25">
      <c r="A119">
        <v>118</v>
      </c>
      <c r="B119" s="2">
        <v>44076</v>
      </c>
      <c r="C119">
        <v>2020</v>
      </c>
      <c r="D119" t="s">
        <v>25</v>
      </c>
      <c r="E119" s="2">
        <v>44081</v>
      </c>
      <c r="F119">
        <v>5</v>
      </c>
      <c r="G119" t="s">
        <v>33</v>
      </c>
      <c r="H119" t="s">
        <v>134</v>
      </c>
      <c r="I119" t="s">
        <v>324</v>
      </c>
      <c r="J119" t="s">
        <v>327</v>
      </c>
      <c r="K119" t="s">
        <v>330</v>
      </c>
      <c r="L119" t="s">
        <v>339</v>
      </c>
      <c r="M119" t="s">
        <v>346</v>
      </c>
      <c r="N119" t="s">
        <v>350</v>
      </c>
      <c r="O119" t="s">
        <v>354</v>
      </c>
      <c r="P119" t="s">
        <v>360</v>
      </c>
      <c r="Q119">
        <v>228.84</v>
      </c>
      <c r="R119">
        <v>10</v>
      </c>
      <c r="S119">
        <v>37.200000000000003</v>
      </c>
    </row>
    <row r="120" spans="1:19" x14ac:dyDescent="0.25">
      <c r="A120">
        <v>119</v>
      </c>
      <c r="B120" s="2">
        <v>44023</v>
      </c>
      <c r="C120">
        <v>2020</v>
      </c>
      <c r="D120" t="s">
        <v>20</v>
      </c>
      <c r="E120" s="2">
        <v>44025</v>
      </c>
      <c r="F120">
        <v>2</v>
      </c>
      <c r="G120" t="s">
        <v>34</v>
      </c>
      <c r="H120" t="s">
        <v>135</v>
      </c>
      <c r="I120" t="s">
        <v>323</v>
      </c>
      <c r="J120" t="s">
        <v>327</v>
      </c>
      <c r="K120" t="s">
        <v>330</v>
      </c>
      <c r="L120" t="s">
        <v>339</v>
      </c>
      <c r="M120" t="s">
        <v>346</v>
      </c>
      <c r="N120" t="s">
        <v>352</v>
      </c>
      <c r="O120" t="s">
        <v>358</v>
      </c>
      <c r="P120" t="s">
        <v>362</v>
      </c>
      <c r="Q120">
        <v>449.8</v>
      </c>
      <c r="R120">
        <v>9</v>
      </c>
      <c r="S120">
        <v>-88.44</v>
      </c>
    </row>
    <row r="121" spans="1:19" x14ac:dyDescent="0.25">
      <c r="A121">
        <v>120</v>
      </c>
      <c r="B121" s="2">
        <v>45122</v>
      </c>
      <c r="C121">
        <v>2023</v>
      </c>
      <c r="D121" t="s">
        <v>20</v>
      </c>
      <c r="E121" s="2">
        <v>45127</v>
      </c>
      <c r="F121">
        <v>5</v>
      </c>
      <c r="G121" t="s">
        <v>31</v>
      </c>
      <c r="H121" t="s">
        <v>112</v>
      </c>
      <c r="I121" t="s">
        <v>323</v>
      </c>
      <c r="J121" t="s">
        <v>326</v>
      </c>
      <c r="K121" t="s">
        <v>331</v>
      </c>
      <c r="L121" t="s">
        <v>340</v>
      </c>
      <c r="M121" t="s">
        <v>347</v>
      </c>
      <c r="N121" t="s">
        <v>352</v>
      </c>
      <c r="O121" t="s">
        <v>357</v>
      </c>
      <c r="P121" t="s">
        <v>359</v>
      </c>
      <c r="Q121">
        <v>443.52</v>
      </c>
      <c r="R121">
        <v>3</v>
      </c>
      <c r="S121">
        <v>130.44</v>
      </c>
    </row>
    <row r="122" spans="1:19" x14ac:dyDescent="0.25">
      <c r="A122">
        <v>121</v>
      </c>
      <c r="B122" s="2">
        <v>44115</v>
      </c>
      <c r="C122">
        <v>2020</v>
      </c>
      <c r="D122" t="s">
        <v>22</v>
      </c>
      <c r="E122" s="2">
        <v>44117</v>
      </c>
      <c r="F122">
        <v>2</v>
      </c>
      <c r="G122" t="s">
        <v>32</v>
      </c>
      <c r="H122" t="s">
        <v>136</v>
      </c>
      <c r="I122" t="s">
        <v>323</v>
      </c>
      <c r="J122" t="s">
        <v>328</v>
      </c>
      <c r="K122" t="s">
        <v>335</v>
      </c>
      <c r="L122" t="s">
        <v>335</v>
      </c>
      <c r="M122" t="s">
        <v>345</v>
      </c>
      <c r="N122" t="s">
        <v>352</v>
      </c>
      <c r="O122" t="s">
        <v>357</v>
      </c>
      <c r="P122" t="s">
        <v>360</v>
      </c>
      <c r="Q122">
        <v>278.83999999999997</v>
      </c>
      <c r="R122">
        <v>8</v>
      </c>
      <c r="S122">
        <v>47.27</v>
      </c>
    </row>
    <row r="123" spans="1:19" x14ac:dyDescent="0.25">
      <c r="A123">
        <v>122</v>
      </c>
      <c r="B123" s="2">
        <v>44725</v>
      </c>
      <c r="C123">
        <v>2022</v>
      </c>
      <c r="D123" t="s">
        <v>21</v>
      </c>
      <c r="E123" s="2">
        <v>44728</v>
      </c>
      <c r="F123">
        <v>3</v>
      </c>
      <c r="G123" t="s">
        <v>34</v>
      </c>
      <c r="H123" t="s">
        <v>75</v>
      </c>
      <c r="I123" t="s">
        <v>324</v>
      </c>
      <c r="J123" t="s">
        <v>327</v>
      </c>
      <c r="K123" t="s">
        <v>337</v>
      </c>
      <c r="L123" t="s">
        <v>344</v>
      </c>
      <c r="M123" t="s">
        <v>347</v>
      </c>
      <c r="N123" t="s">
        <v>351</v>
      </c>
      <c r="O123" t="s">
        <v>356</v>
      </c>
      <c r="P123" t="s">
        <v>359</v>
      </c>
      <c r="Q123">
        <v>418.2</v>
      </c>
      <c r="R123">
        <v>7</v>
      </c>
      <c r="S123">
        <v>-9.6199999999999992</v>
      </c>
    </row>
    <row r="124" spans="1:19" x14ac:dyDescent="0.25">
      <c r="A124">
        <v>123</v>
      </c>
      <c r="B124" s="2">
        <v>44718</v>
      </c>
      <c r="C124">
        <v>2022</v>
      </c>
      <c r="D124" t="s">
        <v>21</v>
      </c>
      <c r="E124" s="2">
        <v>44721</v>
      </c>
      <c r="F124">
        <v>3</v>
      </c>
      <c r="G124" t="s">
        <v>32</v>
      </c>
      <c r="H124" t="s">
        <v>137</v>
      </c>
      <c r="I124" t="s">
        <v>324</v>
      </c>
      <c r="J124" t="s">
        <v>326</v>
      </c>
      <c r="K124" t="s">
        <v>333</v>
      </c>
      <c r="L124" t="s">
        <v>342</v>
      </c>
      <c r="M124" t="s">
        <v>345</v>
      </c>
      <c r="N124" t="s">
        <v>350</v>
      </c>
      <c r="O124" t="s">
        <v>354</v>
      </c>
      <c r="P124" t="s">
        <v>359</v>
      </c>
      <c r="Q124">
        <v>386.57</v>
      </c>
      <c r="R124">
        <v>2</v>
      </c>
      <c r="S124">
        <v>26.53</v>
      </c>
    </row>
    <row r="125" spans="1:19" x14ac:dyDescent="0.25">
      <c r="A125">
        <v>124</v>
      </c>
      <c r="B125" s="2">
        <v>44316</v>
      </c>
      <c r="C125">
        <v>2021</v>
      </c>
      <c r="D125" t="s">
        <v>26</v>
      </c>
      <c r="E125" s="2">
        <v>44321</v>
      </c>
      <c r="F125">
        <v>5</v>
      </c>
      <c r="G125" t="s">
        <v>31</v>
      </c>
      <c r="H125" t="s">
        <v>63</v>
      </c>
      <c r="I125" t="s">
        <v>324</v>
      </c>
      <c r="J125" t="s">
        <v>327</v>
      </c>
      <c r="K125" t="s">
        <v>330</v>
      </c>
      <c r="L125" t="s">
        <v>339</v>
      </c>
      <c r="M125" t="s">
        <v>346</v>
      </c>
      <c r="N125" t="s">
        <v>350</v>
      </c>
      <c r="O125" t="s">
        <v>354</v>
      </c>
      <c r="P125" t="s">
        <v>362</v>
      </c>
      <c r="Q125">
        <v>320.79000000000002</v>
      </c>
      <c r="R125">
        <v>8</v>
      </c>
      <c r="S125">
        <v>149.51</v>
      </c>
    </row>
    <row r="126" spans="1:19" x14ac:dyDescent="0.25">
      <c r="A126">
        <v>125</v>
      </c>
      <c r="B126" s="2">
        <v>44640</v>
      </c>
      <c r="C126">
        <v>2022</v>
      </c>
      <c r="D126" t="s">
        <v>24</v>
      </c>
      <c r="E126" s="2">
        <v>44646</v>
      </c>
      <c r="F126">
        <v>6</v>
      </c>
      <c r="G126" t="s">
        <v>31</v>
      </c>
      <c r="H126" t="s">
        <v>112</v>
      </c>
      <c r="I126" t="s">
        <v>325</v>
      </c>
      <c r="J126" t="s">
        <v>326</v>
      </c>
      <c r="K126" t="s">
        <v>333</v>
      </c>
      <c r="L126" t="s">
        <v>342</v>
      </c>
      <c r="M126" t="s">
        <v>345</v>
      </c>
      <c r="N126" t="s">
        <v>351</v>
      </c>
      <c r="O126" t="s">
        <v>355</v>
      </c>
      <c r="P126" t="s">
        <v>360</v>
      </c>
      <c r="Q126">
        <v>287.27</v>
      </c>
      <c r="R126">
        <v>4</v>
      </c>
      <c r="S126">
        <v>7.8</v>
      </c>
    </row>
    <row r="127" spans="1:19" x14ac:dyDescent="0.25">
      <c r="A127">
        <v>126</v>
      </c>
      <c r="B127" s="2">
        <v>45009</v>
      </c>
      <c r="C127">
        <v>2023</v>
      </c>
      <c r="D127" t="s">
        <v>24</v>
      </c>
      <c r="E127" s="2">
        <v>45019</v>
      </c>
      <c r="F127">
        <v>10</v>
      </c>
      <c r="G127" t="s">
        <v>31</v>
      </c>
      <c r="H127" t="s">
        <v>118</v>
      </c>
      <c r="I127" t="s">
        <v>325</v>
      </c>
      <c r="J127" t="s">
        <v>326</v>
      </c>
      <c r="K127" t="s">
        <v>329</v>
      </c>
      <c r="L127" t="s">
        <v>338</v>
      </c>
      <c r="M127" t="s">
        <v>345</v>
      </c>
      <c r="N127" t="s">
        <v>352</v>
      </c>
      <c r="O127" t="s">
        <v>358</v>
      </c>
      <c r="P127" t="s">
        <v>359</v>
      </c>
      <c r="Q127">
        <v>300.89</v>
      </c>
      <c r="R127">
        <v>3</v>
      </c>
      <c r="S127">
        <v>-38.54</v>
      </c>
    </row>
    <row r="128" spans="1:19" x14ac:dyDescent="0.25">
      <c r="A128">
        <v>127</v>
      </c>
      <c r="B128" s="2">
        <v>44174</v>
      </c>
      <c r="C128">
        <v>2020</v>
      </c>
      <c r="D128" t="s">
        <v>29</v>
      </c>
      <c r="E128" s="2">
        <v>44179</v>
      </c>
      <c r="F128">
        <v>5</v>
      </c>
      <c r="G128" t="s">
        <v>32</v>
      </c>
      <c r="H128" t="s">
        <v>138</v>
      </c>
      <c r="I128" t="s">
        <v>323</v>
      </c>
      <c r="J128" t="s">
        <v>326</v>
      </c>
      <c r="K128" t="s">
        <v>333</v>
      </c>
      <c r="L128" t="s">
        <v>342</v>
      </c>
      <c r="M128" t="s">
        <v>345</v>
      </c>
      <c r="N128" t="s">
        <v>350</v>
      </c>
      <c r="O128" t="s">
        <v>353</v>
      </c>
      <c r="P128" t="s">
        <v>362</v>
      </c>
      <c r="Q128">
        <v>118.24</v>
      </c>
      <c r="R128">
        <v>9</v>
      </c>
      <c r="S128">
        <v>-22.43</v>
      </c>
    </row>
    <row r="129" spans="1:19" x14ac:dyDescent="0.25">
      <c r="A129">
        <v>128</v>
      </c>
      <c r="B129" s="2">
        <v>44141</v>
      </c>
      <c r="C129">
        <v>2020</v>
      </c>
      <c r="D129" t="s">
        <v>30</v>
      </c>
      <c r="E129" s="2">
        <v>44151</v>
      </c>
      <c r="F129">
        <v>10</v>
      </c>
      <c r="G129" t="s">
        <v>32</v>
      </c>
      <c r="H129" t="s">
        <v>139</v>
      </c>
      <c r="I129" t="s">
        <v>324</v>
      </c>
      <c r="J129" t="s">
        <v>328</v>
      </c>
      <c r="K129" t="s">
        <v>335</v>
      </c>
      <c r="L129" t="s">
        <v>335</v>
      </c>
      <c r="M129" t="s">
        <v>345</v>
      </c>
      <c r="N129" t="s">
        <v>351</v>
      </c>
      <c r="O129" t="s">
        <v>355</v>
      </c>
      <c r="P129" t="s">
        <v>361</v>
      </c>
      <c r="Q129">
        <v>278.01</v>
      </c>
      <c r="R129">
        <v>10</v>
      </c>
      <c r="S129">
        <v>18.739999999999998</v>
      </c>
    </row>
    <row r="130" spans="1:19" x14ac:dyDescent="0.25">
      <c r="A130">
        <v>129</v>
      </c>
      <c r="B130" s="2">
        <v>44796</v>
      </c>
      <c r="C130">
        <v>2022</v>
      </c>
      <c r="D130" t="s">
        <v>27</v>
      </c>
      <c r="E130" s="2">
        <v>44802</v>
      </c>
      <c r="F130">
        <v>6</v>
      </c>
      <c r="G130" t="s">
        <v>34</v>
      </c>
      <c r="H130" t="s">
        <v>75</v>
      </c>
      <c r="I130" t="s">
        <v>323</v>
      </c>
      <c r="J130" t="s">
        <v>327</v>
      </c>
      <c r="K130" t="s">
        <v>334</v>
      </c>
      <c r="L130" t="s">
        <v>334</v>
      </c>
      <c r="M130" t="s">
        <v>349</v>
      </c>
      <c r="N130" t="s">
        <v>352</v>
      </c>
      <c r="O130" t="s">
        <v>357</v>
      </c>
      <c r="P130" t="s">
        <v>359</v>
      </c>
      <c r="Q130">
        <v>20.34</v>
      </c>
      <c r="R130">
        <v>2</v>
      </c>
      <c r="S130">
        <v>2</v>
      </c>
    </row>
    <row r="131" spans="1:19" x14ac:dyDescent="0.25">
      <c r="A131">
        <v>130</v>
      </c>
      <c r="B131" s="2">
        <v>44976</v>
      </c>
      <c r="C131">
        <v>2023</v>
      </c>
      <c r="D131" t="s">
        <v>28</v>
      </c>
      <c r="E131" s="2">
        <v>44980</v>
      </c>
      <c r="F131">
        <v>4</v>
      </c>
      <c r="G131" t="s">
        <v>34</v>
      </c>
      <c r="H131" t="s">
        <v>56</v>
      </c>
      <c r="I131" t="s">
        <v>325</v>
      </c>
      <c r="J131" t="s">
        <v>327</v>
      </c>
      <c r="K131" t="s">
        <v>337</v>
      </c>
      <c r="L131" t="s">
        <v>344</v>
      </c>
      <c r="M131" t="s">
        <v>347</v>
      </c>
      <c r="N131" t="s">
        <v>350</v>
      </c>
      <c r="O131" t="s">
        <v>354</v>
      </c>
      <c r="P131" t="s">
        <v>359</v>
      </c>
      <c r="Q131">
        <v>402.64</v>
      </c>
      <c r="R131">
        <v>2</v>
      </c>
      <c r="S131">
        <v>79.540000000000006</v>
      </c>
    </row>
    <row r="132" spans="1:19" x14ac:dyDescent="0.25">
      <c r="A132">
        <v>131</v>
      </c>
      <c r="B132" s="2">
        <v>44633</v>
      </c>
      <c r="C132">
        <v>2022</v>
      </c>
      <c r="D132" t="s">
        <v>24</v>
      </c>
      <c r="E132" s="2">
        <v>44643</v>
      </c>
      <c r="F132">
        <v>10</v>
      </c>
      <c r="G132" t="s">
        <v>33</v>
      </c>
      <c r="H132" t="s">
        <v>79</v>
      </c>
      <c r="I132" t="s">
        <v>324</v>
      </c>
      <c r="J132" t="s">
        <v>327</v>
      </c>
      <c r="K132" t="s">
        <v>334</v>
      </c>
      <c r="L132" t="s">
        <v>334</v>
      </c>
      <c r="M132" t="s">
        <v>349</v>
      </c>
      <c r="N132" t="s">
        <v>351</v>
      </c>
      <c r="O132" t="s">
        <v>355</v>
      </c>
      <c r="P132" t="s">
        <v>360</v>
      </c>
      <c r="Q132">
        <v>285.89</v>
      </c>
      <c r="R132">
        <v>6</v>
      </c>
      <c r="S132">
        <v>-59.7</v>
      </c>
    </row>
    <row r="133" spans="1:19" x14ac:dyDescent="0.25">
      <c r="A133">
        <v>132</v>
      </c>
      <c r="B133" s="2">
        <v>45829</v>
      </c>
      <c r="C133">
        <v>2025</v>
      </c>
      <c r="D133" t="s">
        <v>21</v>
      </c>
      <c r="E133" s="2">
        <v>45832</v>
      </c>
      <c r="F133">
        <v>3</v>
      </c>
      <c r="G133" t="s">
        <v>33</v>
      </c>
      <c r="H133" t="s">
        <v>140</v>
      </c>
      <c r="I133" t="s">
        <v>323</v>
      </c>
      <c r="J133" t="s">
        <v>328</v>
      </c>
      <c r="K133" t="s">
        <v>332</v>
      </c>
      <c r="L133" t="s">
        <v>341</v>
      </c>
      <c r="M133" t="s">
        <v>348</v>
      </c>
      <c r="N133" t="s">
        <v>351</v>
      </c>
      <c r="O133" t="s">
        <v>356</v>
      </c>
      <c r="P133" t="s">
        <v>361</v>
      </c>
      <c r="Q133">
        <v>249.6</v>
      </c>
      <c r="R133">
        <v>5</v>
      </c>
      <c r="S133">
        <v>42.95</v>
      </c>
    </row>
    <row r="134" spans="1:19" x14ac:dyDescent="0.25">
      <c r="A134">
        <v>133</v>
      </c>
      <c r="B134" s="2">
        <v>44935</v>
      </c>
      <c r="C134">
        <v>2023</v>
      </c>
      <c r="D134" t="s">
        <v>23</v>
      </c>
      <c r="E134" s="2">
        <v>44945</v>
      </c>
      <c r="F134">
        <v>10</v>
      </c>
      <c r="G134" t="s">
        <v>34</v>
      </c>
      <c r="H134" t="s">
        <v>141</v>
      </c>
      <c r="I134" t="s">
        <v>324</v>
      </c>
      <c r="J134" t="s">
        <v>327</v>
      </c>
      <c r="K134" t="s">
        <v>334</v>
      </c>
      <c r="L134" t="s">
        <v>334</v>
      </c>
      <c r="M134" t="s">
        <v>349</v>
      </c>
      <c r="N134" t="s">
        <v>351</v>
      </c>
      <c r="O134" t="s">
        <v>356</v>
      </c>
      <c r="P134" t="s">
        <v>362</v>
      </c>
      <c r="Q134">
        <v>52.69</v>
      </c>
      <c r="R134">
        <v>7</v>
      </c>
      <c r="S134">
        <v>14.46</v>
      </c>
    </row>
    <row r="135" spans="1:19" x14ac:dyDescent="0.25">
      <c r="A135">
        <v>134</v>
      </c>
      <c r="B135" s="2">
        <v>44650</v>
      </c>
      <c r="C135">
        <v>2022</v>
      </c>
      <c r="D135" t="s">
        <v>24</v>
      </c>
      <c r="E135" s="2">
        <v>44658</v>
      </c>
      <c r="F135">
        <v>8</v>
      </c>
      <c r="G135" t="s">
        <v>34</v>
      </c>
      <c r="H135" t="s">
        <v>142</v>
      </c>
      <c r="I135" t="s">
        <v>324</v>
      </c>
      <c r="J135" t="s">
        <v>327</v>
      </c>
      <c r="K135" t="s">
        <v>330</v>
      </c>
      <c r="L135" t="s">
        <v>339</v>
      </c>
      <c r="M135" t="s">
        <v>346</v>
      </c>
      <c r="N135" t="s">
        <v>351</v>
      </c>
      <c r="O135" t="s">
        <v>355</v>
      </c>
      <c r="P135" t="s">
        <v>362</v>
      </c>
      <c r="Q135">
        <v>356.32</v>
      </c>
      <c r="R135">
        <v>8</v>
      </c>
      <c r="S135">
        <v>-98.85</v>
      </c>
    </row>
    <row r="136" spans="1:19" x14ac:dyDescent="0.25">
      <c r="A136">
        <v>135</v>
      </c>
      <c r="B136" s="2">
        <v>45739</v>
      </c>
      <c r="C136">
        <v>2025</v>
      </c>
      <c r="D136" t="s">
        <v>24</v>
      </c>
      <c r="E136" s="2">
        <v>45742</v>
      </c>
      <c r="F136">
        <v>3</v>
      </c>
      <c r="G136" t="s">
        <v>31</v>
      </c>
      <c r="H136" t="s">
        <v>143</v>
      </c>
      <c r="I136" t="s">
        <v>324</v>
      </c>
      <c r="J136" t="s">
        <v>327</v>
      </c>
      <c r="K136" t="s">
        <v>330</v>
      </c>
      <c r="L136" t="s">
        <v>339</v>
      </c>
      <c r="M136" t="s">
        <v>346</v>
      </c>
      <c r="N136" t="s">
        <v>351</v>
      </c>
      <c r="O136" t="s">
        <v>356</v>
      </c>
      <c r="P136" t="s">
        <v>360</v>
      </c>
      <c r="Q136">
        <v>421.17</v>
      </c>
      <c r="R136">
        <v>5</v>
      </c>
      <c r="S136">
        <v>15.63</v>
      </c>
    </row>
    <row r="137" spans="1:19" x14ac:dyDescent="0.25">
      <c r="A137">
        <v>136</v>
      </c>
      <c r="B137" s="2">
        <v>43973</v>
      </c>
      <c r="C137">
        <v>2020</v>
      </c>
      <c r="D137" t="s">
        <v>19</v>
      </c>
      <c r="E137" s="2">
        <v>43977</v>
      </c>
      <c r="F137">
        <v>4</v>
      </c>
      <c r="G137" t="s">
        <v>33</v>
      </c>
      <c r="H137" t="s">
        <v>110</v>
      </c>
      <c r="I137" t="s">
        <v>324</v>
      </c>
      <c r="J137" t="s">
        <v>327</v>
      </c>
      <c r="K137" t="s">
        <v>330</v>
      </c>
      <c r="L137" t="s">
        <v>339</v>
      </c>
      <c r="M137" t="s">
        <v>346</v>
      </c>
      <c r="N137" t="s">
        <v>352</v>
      </c>
      <c r="O137" t="s">
        <v>358</v>
      </c>
      <c r="P137" t="s">
        <v>362</v>
      </c>
      <c r="Q137">
        <v>70.209999999999994</v>
      </c>
      <c r="R137">
        <v>3</v>
      </c>
      <c r="S137">
        <v>-12.32</v>
      </c>
    </row>
    <row r="138" spans="1:19" x14ac:dyDescent="0.25">
      <c r="A138">
        <v>137</v>
      </c>
      <c r="B138" s="2">
        <v>45523</v>
      </c>
      <c r="C138">
        <v>2024</v>
      </c>
      <c r="D138" t="s">
        <v>27</v>
      </c>
      <c r="E138" s="2">
        <v>45532</v>
      </c>
      <c r="F138">
        <v>9</v>
      </c>
      <c r="G138" t="s">
        <v>31</v>
      </c>
      <c r="H138" t="s">
        <v>144</v>
      </c>
      <c r="I138" t="s">
        <v>325</v>
      </c>
      <c r="J138" t="s">
        <v>328</v>
      </c>
      <c r="K138" t="s">
        <v>335</v>
      </c>
      <c r="L138" t="s">
        <v>335</v>
      </c>
      <c r="M138" t="s">
        <v>345</v>
      </c>
      <c r="N138" t="s">
        <v>352</v>
      </c>
      <c r="O138" t="s">
        <v>358</v>
      </c>
      <c r="P138" t="s">
        <v>359</v>
      </c>
      <c r="Q138">
        <v>250.81</v>
      </c>
      <c r="R138">
        <v>10</v>
      </c>
      <c r="S138">
        <v>69.12</v>
      </c>
    </row>
    <row r="139" spans="1:19" x14ac:dyDescent="0.25">
      <c r="A139">
        <v>138</v>
      </c>
      <c r="B139" s="2">
        <v>45517</v>
      </c>
      <c r="C139">
        <v>2024</v>
      </c>
      <c r="D139" t="s">
        <v>27</v>
      </c>
      <c r="E139" s="2">
        <v>45522</v>
      </c>
      <c r="F139">
        <v>5</v>
      </c>
      <c r="G139" t="s">
        <v>32</v>
      </c>
      <c r="H139" t="s">
        <v>145</v>
      </c>
      <c r="I139" t="s">
        <v>324</v>
      </c>
      <c r="J139" t="s">
        <v>326</v>
      </c>
      <c r="K139" t="s">
        <v>331</v>
      </c>
      <c r="L139" t="s">
        <v>340</v>
      </c>
      <c r="M139" t="s">
        <v>347</v>
      </c>
      <c r="N139" t="s">
        <v>351</v>
      </c>
      <c r="O139" t="s">
        <v>355</v>
      </c>
      <c r="P139" t="s">
        <v>361</v>
      </c>
      <c r="Q139">
        <v>192.83</v>
      </c>
      <c r="R139">
        <v>4</v>
      </c>
      <c r="S139">
        <v>-50.02</v>
      </c>
    </row>
    <row r="140" spans="1:19" x14ac:dyDescent="0.25">
      <c r="A140">
        <v>139</v>
      </c>
      <c r="B140" s="2">
        <v>43907</v>
      </c>
      <c r="C140">
        <v>2020</v>
      </c>
      <c r="D140" t="s">
        <v>24</v>
      </c>
      <c r="E140" s="2">
        <v>43914</v>
      </c>
      <c r="F140">
        <v>7</v>
      </c>
      <c r="G140" t="s">
        <v>32</v>
      </c>
      <c r="H140" t="s">
        <v>146</v>
      </c>
      <c r="I140" t="s">
        <v>325</v>
      </c>
      <c r="J140" t="s">
        <v>328</v>
      </c>
      <c r="K140" t="s">
        <v>336</v>
      </c>
      <c r="L140" t="s">
        <v>343</v>
      </c>
      <c r="M140" t="s">
        <v>347</v>
      </c>
      <c r="N140" t="s">
        <v>350</v>
      </c>
      <c r="O140" t="s">
        <v>354</v>
      </c>
      <c r="P140" t="s">
        <v>360</v>
      </c>
      <c r="Q140">
        <v>336.98</v>
      </c>
      <c r="R140">
        <v>2</v>
      </c>
      <c r="S140">
        <v>-98.62</v>
      </c>
    </row>
    <row r="141" spans="1:19" x14ac:dyDescent="0.25">
      <c r="A141">
        <v>140</v>
      </c>
      <c r="B141" s="2">
        <v>44885</v>
      </c>
      <c r="C141">
        <v>2022</v>
      </c>
      <c r="D141" t="s">
        <v>30</v>
      </c>
      <c r="E141" s="2">
        <v>44894</v>
      </c>
      <c r="F141">
        <v>9</v>
      </c>
      <c r="G141" t="s">
        <v>34</v>
      </c>
      <c r="H141" t="s">
        <v>42</v>
      </c>
      <c r="I141" t="s">
        <v>323</v>
      </c>
      <c r="J141" t="s">
        <v>328</v>
      </c>
      <c r="K141" t="s">
        <v>335</v>
      </c>
      <c r="L141" t="s">
        <v>335</v>
      </c>
      <c r="M141" t="s">
        <v>345</v>
      </c>
      <c r="N141" t="s">
        <v>350</v>
      </c>
      <c r="O141" t="s">
        <v>354</v>
      </c>
      <c r="P141" t="s">
        <v>361</v>
      </c>
      <c r="Q141">
        <v>445.81</v>
      </c>
      <c r="R141">
        <v>2</v>
      </c>
      <c r="S141">
        <v>-49.12</v>
      </c>
    </row>
    <row r="142" spans="1:19" x14ac:dyDescent="0.25">
      <c r="A142">
        <v>141</v>
      </c>
      <c r="B142" s="2">
        <v>44624</v>
      </c>
      <c r="C142">
        <v>2022</v>
      </c>
      <c r="D142" t="s">
        <v>24</v>
      </c>
      <c r="E142" s="2">
        <v>44627</v>
      </c>
      <c r="F142">
        <v>3</v>
      </c>
      <c r="G142" t="s">
        <v>33</v>
      </c>
      <c r="H142" t="s">
        <v>147</v>
      </c>
      <c r="I142" t="s">
        <v>324</v>
      </c>
      <c r="J142" t="s">
        <v>328</v>
      </c>
      <c r="K142" t="s">
        <v>336</v>
      </c>
      <c r="L142" t="s">
        <v>343</v>
      </c>
      <c r="M142" t="s">
        <v>347</v>
      </c>
      <c r="N142" t="s">
        <v>350</v>
      </c>
      <c r="O142" t="s">
        <v>353</v>
      </c>
      <c r="P142" t="s">
        <v>362</v>
      </c>
      <c r="Q142">
        <v>286.73</v>
      </c>
      <c r="R142">
        <v>4</v>
      </c>
      <c r="S142">
        <v>-41</v>
      </c>
    </row>
    <row r="143" spans="1:19" x14ac:dyDescent="0.25">
      <c r="A143">
        <v>142</v>
      </c>
      <c r="B143" s="2">
        <v>44636</v>
      </c>
      <c r="C143">
        <v>2022</v>
      </c>
      <c r="D143" t="s">
        <v>24</v>
      </c>
      <c r="E143" s="2">
        <v>44642</v>
      </c>
      <c r="F143">
        <v>6</v>
      </c>
      <c r="G143" t="s">
        <v>33</v>
      </c>
      <c r="H143" t="s">
        <v>144</v>
      </c>
      <c r="I143" t="s">
        <v>324</v>
      </c>
      <c r="J143" t="s">
        <v>328</v>
      </c>
      <c r="K143" t="s">
        <v>335</v>
      </c>
      <c r="L143" t="s">
        <v>335</v>
      </c>
      <c r="M143" t="s">
        <v>345</v>
      </c>
      <c r="N143" t="s">
        <v>352</v>
      </c>
      <c r="O143" t="s">
        <v>358</v>
      </c>
      <c r="P143" t="s">
        <v>361</v>
      </c>
      <c r="Q143">
        <v>46.93</v>
      </c>
      <c r="R143">
        <v>4</v>
      </c>
      <c r="S143">
        <v>-3.2</v>
      </c>
    </row>
    <row r="144" spans="1:19" x14ac:dyDescent="0.25">
      <c r="A144">
        <v>143</v>
      </c>
      <c r="B144" s="2">
        <v>44347</v>
      </c>
      <c r="C144">
        <v>2021</v>
      </c>
      <c r="D144" t="s">
        <v>19</v>
      </c>
      <c r="E144" s="2">
        <v>44354</v>
      </c>
      <c r="F144">
        <v>7</v>
      </c>
      <c r="G144" t="s">
        <v>31</v>
      </c>
      <c r="H144" t="s">
        <v>89</v>
      </c>
      <c r="I144" t="s">
        <v>324</v>
      </c>
      <c r="J144" t="s">
        <v>327</v>
      </c>
      <c r="K144" t="s">
        <v>330</v>
      </c>
      <c r="L144" t="s">
        <v>339</v>
      </c>
      <c r="M144" t="s">
        <v>346</v>
      </c>
      <c r="N144" t="s">
        <v>350</v>
      </c>
      <c r="O144" t="s">
        <v>354</v>
      </c>
      <c r="P144" t="s">
        <v>361</v>
      </c>
      <c r="Q144">
        <v>379.05</v>
      </c>
      <c r="R144">
        <v>9</v>
      </c>
      <c r="S144">
        <v>17.18</v>
      </c>
    </row>
    <row r="145" spans="1:19" x14ac:dyDescent="0.25">
      <c r="A145">
        <v>144</v>
      </c>
      <c r="B145" s="2">
        <v>44879</v>
      </c>
      <c r="C145">
        <v>2022</v>
      </c>
      <c r="D145" t="s">
        <v>30</v>
      </c>
      <c r="E145" s="2">
        <v>44881</v>
      </c>
      <c r="F145">
        <v>2</v>
      </c>
      <c r="G145" t="s">
        <v>33</v>
      </c>
      <c r="H145" t="s">
        <v>148</v>
      </c>
      <c r="I145" t="s">
        <v>325</v>
      </c>
      <c r="J145" t="s">
        <v>326</v>
      </c>
      <c r="K145" t="s">
        <v>329</v>
      </c>
      <c r="L145" t="s">
        <v>338</v>
      </c>
      <c r="M145" t="s">
        <v>345</v>
      </c>
      <c r="N145" t="s">
        <v>350</v>
      </c>
      <c r="O145" t="s">
        <v>353</v>
      </c>
      <c r="P145" t="s">
        <v>361</v>
      </c>
      <c r="Q145">
        <v>338.82</v>
      </c>
      <c r="R145">
        <v>9</v>
      </c>
      <c r="S145">
        <v>-20.93</v>
      </c>
    </row>
    <row r="146" spans="1:19" x14ac:dyDescent="0.25">
      <c r="A146">
        <v>145</v>
      </c>
      <c r="B146" s="2">
        <v>45741</v>
      </c>
      <c r="C146">
        <v>2025</v>
      </c>
      <c r="D146" t="s">
        <v>24</v>
      </c>
      <c r="E146" s="2">
        <v>45748</v>
      </c>
      <c r="F146">
        <v>7</v>
      </c>
      <c r="G146" t="s">
        <v>31</v>
      </c>
      <c r="H146" t="s">
        <v>53</v>
      </c>
      <c r="I146" t="s">
        <v>323</v>
      </c>
      <c r="J146" t="s">
        <v>326</v>
      </c>
      <c r="K146" t="s">
        <v>333</v>
      </c>
      <c r="L146" t="s">
        <v>342</v>
      </c>
      <c r="M146" t="s">
        <v>345</v>
      </c>
      <c r="N146" t="s">
        <v>350</v>
      </c>
      <c r="O146" t="s">
        <v>353</v>
      </c>
      <c r="P146" t="s">
        <v>362</v>
      </c>
      <c r="Q146">
        <v>470.1</v>
      </c>
      <c r="R146">
        <v>9</v>
      </c>
      <c r="S146">
        <v>18.68</v>
      </c>
    </row>
    <row r="147" spans="1:19" x14ac:dyDescent="0.25">
      <c r="A147">
        <v>146</v>
      </c>
      <c r="B147" s="2">
        <v>45912</v>
      </c>
      <c r="C147">
        <v>2025</v>
      </c>
      <c r="D147" t="s">
        <v>25</v>
      </c>
      <c r="E147" s="2">
        <v>45913</v>
      </c>
      <c r="F147">
        <v>1</v>
      </c>
      <c r="G147" t="s">
        <v>32</v>
      </c>
      <c r="H147" t="s">
        <v>149</v>
      </c>
      <c r="I147" t="s">
        <v>325</v>
      </c>
      <c r="J147" t="s">
        <v>326</v>
      </c>
      <c r="K147" t="s">
        <v>329</v>
      </c>
      <c r="L147" t="s">
        <v>338</v>
      </c>
      <c r="M147" t="s">
        <v>345</v>
      </c>
      <c r="N147" t="s">
        <v>352</v>
      </c>
      <c r="O147" t="s">
        <v>358</v>
      </c>
      <c r="P147" t="s">
        <v>361</v>
      </c>
      <c r="Q147">
        <v>97.48</v>
      </c>
      <c r="R147">
        <v>8</v>
      </c>
      <c r="S147">
        <v>37.96</v>
      </c>
    </row>
    <row r="148" spans="1:19" x14ac:dyDescent="0.25">
      <c r="A148">
        <v>147</v>
      </c>
      <c r="B148" s="2">
        <v>43983</v>
      </c>
      <c r="C148">
        <v>2020</v>
      </c>
      <c r="D148" t="s">
        <v>21</v>
      </c>
      <c r="E148" s="2">
        <v>43993</v>
      </c>
      <c r="F148">
        <v>10</v>
      </c>
      <c r="G148" t="s">
        <v>32</v>
      </c>
      <c r="H148" t="s">
        <v>150</v>
      </c>
      <c r="I148" t="s">
        <v>325</v>
      </c>
      <c r="J148" t="s">
        <v>327</v>
      </c>
      <c r="K148" t="s">
        <v>334</v>
      </c>
      <c r="L148" t="s">
        <v>334</v>
      </c>
      <c r="M148" t="s">
        <v>349</v>
      </c>
      <c r="N148" t="s">
        <v>350</v>
      </c>
      <c r="O148" t="s">
        <v>353</v>
      </c>
      <c r="P148" t="s">
        <v>361</v>
      </c>
      <c r="Q148">
        <v>351.96</v>
      </c>
      <c r="R148">
        <v>1</v>
      </c>
      <c r="S148">
        <v>-31.43</v>
      </c>
    </row>
    <row r="149" spans="1:19" x14ac:dyDescent="0.25">
      <c r="A149">
        <v>148</v>
      </c>
      <c r="B149" s="2">
        <v>44999</v>
      </c>
      <c r="C149">
        <v>2023</v>
      </c>
      <c r="D149" t="s">
        <v>24</v>
      </c>
      <c r="E149" s="2">
        <v>45007</v>
      </c>
      <c r="F149">
        <v>8</v>
      </c>
      <c r="G149" t="s">
        <v>34</v>
      </c>
      <c r="H149" t="s">
        <v>151</v>
      </c>
      <c r="I149" t="s">
        <v>324</v>
      </c>
      <c r="J149" t="s">
        <v>328</v>
      </c>
      <c r="K149" t="s">
        <v>335</v>
      </c>
      <c r="L149" t="s">
        <v>335</v>
      </c>
      <c r="M149" t="s">
        <v>345</v>
      </c>
      <c r="N149" t="s">
        <v>350</v>
      </c>
      <c r="O149" t="s">
        <v>354</v>
      </c>
      <c r="P149" t="s">
        <v>359</v>
      </c>
      <c r="Q149">
        <v>381.52</v>
      </c>
      <c r="R149">
        <v>8</v>
      </c>
      <c r="S149">
        <v>153.12</v>
      </c>
    </row>
    <row r="150" spans="1:19" x14ac:dyDescent="0.25">
      <c r="A150">
        <v>149</v>
      </c>
      <c r="B150" s="2">
        <v>46005</v>
      </c>
      <c r="C150">
        <v>2025</v>
      </c>
      <c r="D150" t="s">
        <v>29</v>
      </c>
      <c r="E150" s="2">
        <v>46009</v>
      </c>
      <c r="F150">
        <v>4</v>
      </c>
      <c r="G150" t="s">
        <v>34</v>
      </c>
      <c r="H150" t="s">
        <v>110</v>
      </c>
      <c r="I150" t="s">
        <v>323</v>
      </c>
      <c r="J150" t="s">
        <v>327</v>
      </c>
      <c r="K150" t="s">
        <v>337</v>
      </c>
      <c r="L150" t="s">
        <v>344</v>
      </c>
      <c r="M150" t="s">
        <v>347</v>
      </c>
      <c r="N150" t="s">
        <v>350</v>
      </c>
      <c r="O150" t="s">
        <v>353</v>
      </c>
      <c r="P150" t="s">
        <v>361</v>
      </c>
      <c r="Q150">
        <v>104.44</v>
      </c>
      <c r="R150">
        <v>8</v>
      </c>
      <c r="S150">
        <v>-22.76</v>
      </c>
    </row>
    <row r="151" spans="1:19" x14ac:dyDescent="0.25">
      <c r="A151">
        <v>150</v>
      </c>
      <c r="B151" s="2">
        <v>43995</v>
      </c>
      <c r="C151">
        <v>2020</v>
      </c>
      <c r="D151" t="s">
        <v>21</v>
      </c>
      <c r="E151" s="2">
        <v>44000</v>
      </c>
      <c r="F151">
        <v>5</v>
      </c>
      <c r="G151" t="s">
        <v>32</v>
      </c>
      <c r="H151" t="s">
        <v>80</v>
      </c>
      <c r="I151" t="s">
        <v>324</v>
      </c>
      <c r="J151" t="s">
        <v>328</v>
      </c>
      <c r="K151" t="s">
        <v>332</v>
      </c>
      <c r="L151" t="s">
        <v>341</v>
      </c>
      <c r="M151" t="s">
        <v>348</v>
      </c>
      <c r="N151" t="s">
        <v>352</v>
      </c>
      <c r="O151" t="s">
        <v>358</v>
      </c>
      <c r="P151" t="s">
        <v>360</v>
      </c>
      <c r="Q151">
        <v>189.59</v>
      </c>
      <c r="R151">
        <v>8</v>
      </c>
      <c r="S151">
        <v>-40.46</v>
      </c>
    </row>
    <row r="152" spans="1:19" x14ac:dyDescent="0.25">
      <c r="A152">
        <v>151</v>
      </c>
      <c r="B152" s="2">
        <v>44132</v>
      </c>
      <c r="C152">
        <v>2020</v>
      </c>
      <c r="D152" t="s">
        <v>22</v>
      </c>
      <c r="E152" s="2">
        <v>44136</v>
      </c>
      <c r="F152">
        <v>4</v>
      </c>
      <c r="G152" t="s">
        <v>32</v>
      </c>
      <c r="H152" t="s">
        <v>144</v>
      </c>
      <c r="I152" t="s">
        <v>323</v>
      </c>
      <c r="J152" t="s">
        <v>328</v>
      </c>
      <c r="K152" t="s">
        <v>332</v>
      </c>
      <c r="L152" t="s">
        <v>341</v>
      </c>
      <c r="M152" t="s">
        <v>348</v>
      </c>
      <c r="N152" t="s">
        <v>351</v>
      </c>
      <c r="O152" t="s">
        <v>355</v>
      </c>
      <c r="P152" t="s">
        <v>360</v>
      </c>
      <c r="Q152">
        <v>418.98</v>
      </c>
      <c r="R152">
        <v>6</v>
      </c>
      <c r="S152">
        <v>-94.78</v>
      </c>
    </row>
    <row r="153" spans="1:19" x14ac:dyDescent="0.25">
      <c r="A153">
        <v>152</v>
      </c>
      <c r="B153" s="2">
        <v>45878</v>
      </c>
      <c r="C153">
        <v>2025</v>
      </c>
      <c r="D153" t="s">
        <v>27</v>
      </c>
      <c r="E153" s="2">
        <v>45886</v>
      </c>
      <c r="F153">
        <v>8</v>
      </c>
      <c r="G153" t="s">
        <v>32</v>
      </c>
      <c r="H153" t="s">
        <v>152</v>
      </c>
      <c r="I153" t="s">
        <v>325</v>
      </c>
      <c r="J153" t="s">
        <v>328</v>
      </c>
      <c r="K153" t="s">
        <v>336</v>
      </c>
      <c r="L153" t="s">
        <v>343</v>
      </c>
      <c r="M153" t="s">
        <v>347</v>
      </c>
      <c r="N153" t="s">
        <v>352</v>
      </c>
      <c r="O153" t="s">
        <v>358</v>
      </c>
      <c r="P153" t="s">
        <v>362</v>
      </c>
      <c r="Q153">
        <v>62.02</v>
      </c>
      <c r="R153">
        <v>8</v>
      </c>
      <c r="S153">
        <v>18.100000000000001</v>
      </c>
    </row>
    <row r="154" spans="1:19" x14ac:dyDescent="0.25">
      <c r="A154">
        <v>153</v>
      </c>
      <c r="B154" s="2">
        <v>44010</v>
      </c>
      <c r="C154">
        <v>2020</v>
      </c>
      <c r="D154" t="s">
        <v>21</v>
      </c>
      <c r="E154" s="2">
        <v>44011</v>
      </c>
      <c r="F154">
        <v>1</v>
      </c>
      <c r="G154" t="s">
        <v>34</v>
      </c>
      <c r="H154" t="s">
        <v>153</v>
      </c>
      <c r="I154" t="s">
        <v>324</v>
      </c>
      <c r="J154" t="s">
        <v>327</v>
      </c>
      <c r="K154" t="s">
        <v>330</v>
      </c>
      <c r="L154" t="s">
        <v>339</v>
      </c>
      <c r="M154" t="s">
        <v>346</v>
      </c>
      <c r="N154" t="s">
        <v>351</v>
      </c>
      <c r="O154" t="s">
        <v>356</v>
      </c>
      <c r="P154" t="s">
        <v>362</v>
      </c>
      <c r="Q154">
        <v>119.62</v>
      </c>
      <c r="R154">
        <v>5</v>
      </c>
      <c r="S154">
        <v>-30.79</v>
      </c>
    </row>
    <row r="155" spans="1:19" x14ac:dyDescent="0.25">
      <c r="A155">
        <v>154</v>
      </c>
      <c r="B155" s="2">
        <v>45569</v>
      </c>
      <c r="C155">
        <v>2024</v>
      </c>
      <c r="D155" t="s">
        <v>22</v>
      </c>
      <c r="E155" s="2">
        <v>45574</v>
      </c>
      <c r="F155">
        <v>5</v>
      </c>
      <c r="G155" t="s">
        <v>34</v>
      </c>
      <c r="H155" t="s">
        <v>154</v>
      </c>
      <c r="I155" t="s">
        <v>323</v>
      </c>
      <c r="J155" t="s">
        <v>326</v>
      </c>
      <c r="K155" t="s">
        <v>333</v>
      </c>
      <c r="L155" t="s">
        <v>342</v>
      </c>
      <c r="M155" t="s">
        <v>345</v>
      </c>
      <c r="N155" t="s">
        <v>352</v>
      </c>
      <c r="O155" t="s">
        <v>358</v>
      </c>
      <c r="P155" t="s">
        <v>362</v>
      </c>
      <c r="Q155">
        <v>271.17</v>
      </c>
      <c r="R155">
        <v>2</v>
      </c>
      <c r="S155">
        <v>13.8</v>
      </c>
    </row>
    <row r="156" spans="1:19" x14ac:dyDescent="0.25">
      <c r="A156">
        <v>155</v>
      </c>
      <c r="B156" s="2">
        <v>43902</v>
      </c>
      <c r="C156">
        <v>2020</v>
      </c>
      <c r="D156" t="s">
        <v>24</v>
      </c>
      <c r="E156" s="2">
        <v>43908</v>
      </c>
      <c r="F156">
        <v>6</v>
      </c>
      <c r="G156" t="s">
        <v>33</v>
      </c>
      <c r="H156" t="s">
        <v>155</v>
      </c>
      <c r="I156" t="s">
        <v>323</v>
      </c>
      <c r="J156" t="s">
        <v>326</v>
      </c>
      <c r="K156" t="s">
        <v>331</v>
      </c>
      <c r="L156" t="s">
        <v>340</v>
      </c>
      <c r="M156" t="s">
        <v>347</v>
      </c>
      <c r="N156" t="s">
        <v>350</v>
      </c>
      <c r="O156" t="s">
        <v>354</v>
      </c>
      <c r="P156" t="s">
        <v>359</v>
      </c>
      <c r="Q156">
        <v>448.42</v>
      </c>
      <c r="R156">
        <v>3</v>
      </c>
      <c r="S156">
        <v>-19.18</v>
      </c>
    </row>
    <row r="157" spans="1:19" x14ac:dyDescent="0.25">
      <c r="A157">
        <v>156</v>
      </c>
      <c r="B157" s="2">
        <v>43954</v>
      </c>
      <c r="C157">
        <v>2020</v>
      </c>
      <c r="D157" t="s">
        <v>19</v>
      </c>
      <c r="E157" s="2">
        <v>43959</v>
      </c>
      <c r="F157">
        <v>5</v>
      </c>
      <c r="G157" t="s">
        <v>32</v>
      </c>
      <c r="H157" t="s">
        <v>156</v>
      </c>
      <c r="I157" t="s">
        <v>323</v>
      </c>
      <c r="J157" t="s">
        <v>327</v>
      </c>
      <c r="K157" t="s">
        <v>334</v>
      </c>
      <c r="L157" t="s">
        <v>334</v>
      </c>
      <c r="M157" t="s">
        <v>349</v>
      </c>
      <c r="N157" t="s">
        <v>351</v>
      </c>
      <c r="O157" t="s">
        <v>355</v>
      </c>
      <c r="P157" t="s">
        <v>362</v>
      </c>
      <c r="Q157">
        <v>211.03</v>
      </c>
      <c r="R157">
        <v>7</v>
      </c>
      <c r="S157">
        <v>94.75</v>
      </c>
    </row>
    <row r="158" spans="1:19" x14ac:dyDescent="0.25">
      <c r="A158">
        <v>157</v>
      </c>
      <c r="B158" s="2">
        <v>44976</v>
      </c>
      <c r="C158">
        <v>2023</v>
      </c>
      <c r="D158" t="s">
        <v>28</v>
      </c>
      <c r="E158" s="2">
        <v>44982</v>
      </c>
      <c r="F158">
        <v>6</v>
      </c>
      <c r="G158" t="s">
        <v>32</v>
      </c>
      <c r="H158" t="s">
        <v>157</v>
      </c>
      <c r="I158" t="s">
        <v>324</v>
      </c>
      <c r="J158" t="s">
        <v>326</v>
      </c>
      <c r="K158" t="s">
        <v>333</v>
      </c>
      <c r="L158" t="s">
        <v>342</v>
      </c>
      <c r="M158" t="s">
        <v>345</v>
      </c>
      <c r="N158" t="s">
        <v>350</v>
      </c>
      <c r="O158" t="s">
        <v>354</v>
      </c>
      <c r="P158" t="s">
        <v>362</v>
      </c>
      <c r="Q158">
        <v>255.42</v>
      </c>
      <c r="R158">
        <v>10</v>
      </c>
      <c r="S158">
        <v>113.51</v>
      </c>
    </row>
    <row r="159" spans="1:19" x14ac:dyDescent="0.25">
      <c r="A159">
        <v>158</v>
      </c>
      <c r="B159" s="2">
        <v>45231</v>
      </c>
      <c r="C159">
        <v>2023</v>
      </c>
      <c r="D159" t="s">
        <v>30</v>
      </c>
      <c r="E159" s="2">
        <v>45237</v>
      </c>
      <c r="F159">
        <v>6</v>
      </c>
      <c r="G159" t="s">
        <v>33</v>
      </c>
      <c r="H159" t="s">
        <v>158</v>
      </c>
      <c r="I159" t="s">
        <v>324</v>
      </c>
      <c r="J159" t="s">
        <v>326</v>
      </c>
      <c r="K159" t="s">
        <v>333</v>
      </c>
      <c r="L159" t="s">
        <v>342</v>
      </c>
      <c r="M159" t="s">
        <v>345</v>
      </c>
      <c r="N159" t="s">
        <v>352</v>
      </c>
      <c r="O159" t="s">
        <v>358</v>
      </c>
      <c r="P159" t="s">
        <v>359</v>
      </c>
      <c r="Q159">
        <v>169.4</v>
      </c>
      <c r="R159">
        <v>1</v>
      </c>
      <c r="S159">
        <v>63.97</v>
      </c>
    </row>
    <row r="160" spans="1:19" x14ac:dyDescent="0.25">
      <c r="A160">
        <v>159</v>
      </c>
      <c r="B160" s="2">
        <v>44655</v>
      </c>
      <c r="C160">
        <v>2022</v>
      </c>
      <c r="D160" t="s">
        <v>26</v>
      </c>
      <c r="E160" s="2">
        <v>44665</v>
      </c>
      <c r="F160">
        <v>10</v>
      </c>
      <c r="G160" t="s">
        <v>32</v>
      </c>
      <c r="H160" t="s">
        <v>38</v>
      </c>
      <c r="I160" t="s">
        <v>325</v>
      </c>
      <c r="J160" t="s">
        <v>326</v>
      </c>
      <c r="K160" t="s">
        <v>333</v>
      </c>
      <c r="L160" t="s">
        <v>342</v>
      </c>
      <c r="M160" t="s">
        <v>345</v>
      </c>
      <c r="N160" t="s">
        <v>350</v>
      </c>
      <c r="O160" t="s">
        <v>353</v>
      </c>
      <c r="P160" t="s">
        <v>360</v>
      </c>
      <c r="Q160">
        <v>38.6</v>
      </c>
      <c r="R160">
        <v>5</v>
      </c>
      <c r="S160">
        <v>16.77</v>
      </c>
    </row>
    <row r="161" spans="1:19" x14ac:dyDescent="0.25">
      <c r="A161">
        <v>160</v>
      </c>
      <c r="B161" s="2">
        <v>44091</v>
      </c>
      <c r="C161">
        <v>2020</v>
      </c>
      <c r="D161" t="s">
        <v>25</v>
      </c>
      <c r="E161" s="2">
        <v>44100</v>
      </c>
      <c r="F161">
        <v>9</v>
      </c>
      <c r="G161" t="s">
        <v>31</v>
      </c>
      <c r="H161" t="s">
        <v>159</v>
      </c>
      <c r="I161" t="s">
        <v>323</v>
      </c>
      <c r="J161" t="s">
        <v>328</v>
      </c>
      <c r="K161" t="s">
        <v>336</v>
      </c>
      <c r="L161" t="s">
        <v>343</v>
      </c>
      <c r="M161" t="s">
        <v>347</v>
      </c>
      <c r="N161" t="s">
        <v>352</v>
      </c>
      <c r="O161" t="s">
        <v>358</v>
      </c>
      <c r="P161" t="s">
        <v>359</v>
      </c>
      <c r="Q161">
        <v>201.43</v>
      </c>
      <c r="R161">
        <v>1</v>
      </c>
      <c r="S161">
        <v>-14.7</v>
      </c>
    </row>
    <row r="162" spans="1:19" x14ac:dyDescent="0.25">
      <c r="A162">
        <v>161</v>
      </c>
      <c r="B162" s="2">
        <v>45968</v>
      </c>
      <c r="C162">
        <v>2025</v>
      </c>
      <c r="D162" t="s">
        <v>30</v>
      </c>
      <c r="E162" s="2">
        <v>45969</v>
      </c>
      <c r="F162">
        <v>1</v>
      </c>
      <c r="G162" t="s">
        <v>32</v>
      </c>
      <c r="H162" t="s">
        <v>160</v>
      </c>
      <c r="I162" t="s">
        <v>323</v>
      </c>
      <c r="J162" t="s">
        <v>326</v>
      </c>
      <c r="K162" t="s">
        <v>333</v>
      </c>
      <c r="L162" t="s">
        <v>342</v>
      </c>
      <c r="M162" t="s">
        <v>345</v>
      </c>
      <c r="N162" t="s">
        <v>352</v>
      </c>
      <c r="O162" t="s">
        <v>358</v>
      </c>
      <c r="P162" t="s">
        <v>362</v>
      </c>
      <c r="Q162">
        <v>189.21</v>
      </c>
      <c r="R162">
        <v>1</v>
      </c>
      <c r="S162">
        <v>-3.69</v>
      </c>
    </row>
    <row r="163" spans="1:19" x14ac:dyDescent="0.25">
      <c r="A163">
        <v>162</v>
      </c>
      <c r="B163" s="2">
        <v>44435</v>
      </c>
      <c r="C163">
        <v>2021</v>
      </c>
      <c r="D163" t="s">
        <v>27</v>
      </c>
      <c r="E163" s="2">
        <v>44439</v>
      </c>
      <c r="F163">
        <v>4</v>
      </c>
      <c r="G163" t="s">
        <v>32</v>
      </c>
      <c r="H163" t="s">
        <v>105</v>
      </c>
      <c r="I163" t="s">
        <v>325</v>
      </c>
      <c r="J163" t="s">
        <v>327</v>
      </c>
      <c r="K163" t="s">
        <v>330</v>
      </c>
      <c r="L163" t="s">
        <v>339</v>
      </c>
      <c r="M163" t="s">
        <v>346</v>
      </c>
      <c r="N163" t="s">
        <v>352</v>
      </c>
      <c r="O163" t="s">
        <v>358</v>
      </c>
      <c r="P163" t="s">
        <v>362</v>
      </c>
      <c r="Q163">
        <v>253.66</v>
      </c>
      <c r="R163">
        <v>6</v>
      </c>
      <c r="S163">
        <v>-53.76</v>
      </c>
    </row>
    <row r="164" spans="1:19" x14ac:dyDescent="0.25">
      <c r="A164">
        <v>163</v>
      </c>
      <c r="B164" s="2">
        <v>45489</v>
      </c>
      <c r="C164">
        <v>2024</v>
      </c>
      <c r="D164" t="s">
        <v>20</v>
      </c>
      <c r="E164" s="2">
        <v>45490</v>
      </c>
      <c r="F164">
        <v>1</v>
      </c>
      <c r="G164" t="s">
        <v>31</v>
      </c>
      <c r="H164" t="s">
        <v>62</v>
      </c>
      <c r="I164" t="s">
        <v>324</v>
      </c>
      <c r="J164" t="s">
        <v>327</v>
      </c>
      <c r="K164" t="s">
        <v>334</v>
      </c>
      <c r="L164" t="s">
        <v>334</v>
      </c>
      <c r="M164" t="s">
        <v>349</v>
      </c>
      <c r="N164" t="s">
        <v>352</v>
      </c>
      <c r="O164" t="s">
        <v>358</v>
      </c>
      <c r="P164" t="s">
        <v>360</v>
      </c>
      <c r="Q164">
        <v>51.67</v>
      </c>
      <c r="R164">
        <v>6</v>
      </c>
      <c r="S164">
        <v>10.130000000000001</v>
      </c>
    </row>
    <row r="165" spans="1:19" x14ac:dyDescent="0.25">
      <c r="A165">
        <v>164</v>
      </c>
      <c r="B165" s="2">
        <v>44109</v>
      </c>
      <c r="C165">
        <v>2020</v>
      </c>
      <c r="D165" t="s">
        <v>22</v>
      </c>
      <c r="E165" s="2">
        <v>44114</v>
      </c>
      <c r="F165">
        <v>5</v>
      </c>
      <c r="G165" t="s">
        <v>34</v>
      </c>
      <c r="H165" t="s">
        <v>161</v>
      </c>
      <c r="I165" t="s">
        <v>325</v>
      </c>
      <c r="J165" t="s">
        <v>328</v>
      </c>
      <c r="K165" t="s">
        <v>336</v>
      </c>
      <c r="L165" t="s">
        <v>343</v>
      </c>
      <c r="M165" t="s">
        <v>347</v>
      </c>
      <c r="N165" t="s">
        <v>351</v>
      </c>
      <c r="O165" t="s">
        <v>356</v>
      </c>
      <c r="P165" t="s">
        <v>359</v>
      </c>
      <c r="Q165">
        <v>397.82</v>
      </c>
      <c r="R165">
        <v>8</v>
      </c>
      <c r="S165">
        <v>13.39</v>
      </c>
    </row>
    <row r="166" spans="1:19" x14ac:dyDescent="0.25">
      <c r="A166">
        <v>165</v>
      </c>
      <c r="B166" s="2">
        <v>44367</v>
      </c>
      <c r="C166">
        <v>2021</v>
      </c>
      <c r="D166" t="s">
        <v>21</v>
      </c>
      <c r="E166" s="2">
        <v>44376</v>
      </c>
      <c r="F166">
        <v>9</v>
      </c>
      <c r="G166" t="s">
        <v>32</v>
      </c>
      <c r="H166" t="s">
        <v>96</v>
      </c>
      <c r="I166" t="s">
        <v>323</v>
      </c>
      <c r="J166" t="s">
        <v>326</v>
      </c>
      <c r="K166" t="s">
        <v>329</v>
      </c>
      <c r="L166" t="s">
        <v>338</v>
      </c>
      <c r="M166" t="s">
        <v>345</v>
      </c>
      <c r="N166" t="s">
        <v>350</v>
      </c>
      <c r="O166" t="s">
        <v>353</v>
      </c>
      <c r="P166" t="s">
        <v>359</v>
      </c>
      <c r="Q166">
        <v>397.65</v>
      </c>
      <c r="R166">
        <v>3</v>
      </c>
      <c r="S166">
        <v>152.09</v>
      </c>
    </row>
    <row r="167" spans="1:19" x14ac:dyDescent="0.25">
      <c r="A167">
        <v>166</v>
      </c>
      <c r="B167" s="2">
        <v>44324</v>
      </c>
      <c r="C167">
        <v>2021</v>
      </c>
      <c r="D167" t="s">
        <v>19</v>
      </c>
      <c r="E167" s="2">
        <v>44327</v>
      </c>
      <c r="F167">
        <v>3</v>
      </c>
      <c r="G167" t="s">
        <v>34</v>
      </c>
      <c r="H167" t="s">
        <v>162</v>
      </c>
      <c r="I167" t="s">
        <v>324</v>
      </c>
      <c r="J167" t="s">
        <v>328</v>
      </c>
      <c r="K167" t="s">
        <v>336</v>
      </c>
      <c r="L167" t="s">
        <v>343</v>
      </c>
      <c r="M167" t="s">
        <v>347</v>
      </c>
      <c r="N167" t="s">
        <v>351</v>
      </c>
      <c r="O167" t="s">
        <v>355</v>
      </c>
      <c r="P167" t="s">
        <v>359</v>
      </c>
      <c r="Q167">
        <v>462.32</v>
      </c>
      <c r="R167">
        <v>8</v>
      </c>
      <c r="S167">
        <v>71.19</v>
      </c>
    </row>
    <row r="168" spans="1:19" x14ac:dyDescent="0.25">
      <c r="A168">
        <v>167</v>
      </c>
      <c r="B168" s="2">
        <v>44224</v>
      </c>
      <c r="C168">
        <v>2021</v>
      </c>
      <c r="D168" t="s">
        <v>23</v>
      </c>
      <c r="E168" s="2">
        <v>44226</v>
      </c>
      <c r="F168">
        <v>2</v>
      </c>
      <c r="G168" t="s">
        <v>33</v>
      </c>
      <c r="H168" t="s">
        <v>104</v>
      </c>
      <c r="I168" t="s">
        <v>325</v>
      </c>
      <c r="J168" t="s">
        <v>328</v>
      </c>
      <c r="K168" t="s">
        <v>335</v>
      </c>
      <c r="L168" t="s">
        <v>335</v>
      </c>
      <c r="M168" t="s">
        <v>345</v>
      </c>
      <c r="N168" t="s">
        <v>350</v>
      </c>
      <c r="O168" t="s">
        <v>353</v>
      </c>
      <c r="P168" t="s">
        <v>361</v>
      </c>
      <c r="Q168">
        <v>163.49</v>
      </c>
      <c r="R168">
        <v>1</v>
      </c>
      <c r="S168">
        <v>11.57</v>
      </c>
    </row>
    <row r="169" spans="1:19" x14ac:dyDescent="0.25">
      <c r="A169">
        <v>168</v>
      </c>
      <c r="B169" s="2">
        <v>45476</v>
      </c>
      <c r="C169">
        <v>2024</v>
      </c>
      <c r="D169" t="s">
        <v>20</v>
      </c>
      <c r="E169" s="2">
        <v>45477</v>
      </c>
      <c r="F169">
        <v>1</v>
      </c>
      <c r="G169" t="s">
        <v>34</v>
      </c>
      <c r="H169" t="s">
        <v>163</v>
      </c>
      <c r="I169" t="s">
        <v>324</v>
      </c>
      <c r="J169" t="s">
        <v>328</v>
      </c>
      <c r="K169" t="s">
        <v>336</v>
      </c>
      <c r="L169" t="s">
        <v>343</v>
      </c>
      <c r="M169" t="s">
        <v>347</v>
      </c>
      <c r="N169" t="s">
        <v>350</v>
      </c>
      <c r="O169" t="s">
        <v>354</v>
      </c>
      <c r="P169" t="s">
        <v>362</v>
      </c>
      <c r="Q169">
        <v>55.29</v>
      </c>
      <c r="R169">
        <v>4</v>
      </c>
      <c r="S169">
        <v>24.2</v>
      </c>
    </row>
    <row r="170" spans="1:19" x14ac:dyDescent="0.25">
      <c r="A170">
        <v>169</v>
      </c>
      <c r="B170" s="2">
        <v>45571</v>
      </c>
      <c r="C170">
        <v>2024</v>
      </c>
      <c r="D170" t="s">
        <v>22</v>
      </c>
      <c r="E170" s="2">
        <v>45573</v>
      </c>
      <c r="F170">
        <v>2</v>
      </c>
      <c r="G170" t="s">
        <v>31</v>
      </c>
      <c r="H170" t="s">
        <v>164</v>
      </c>
      <c r="I170" t="s">
        <v>323</v>
      </c>
      <c r="J170" t="s">
        <v>327</v>
      </c>
      <c r="K170" t="s">
        <v>337</v>
      </c>
      <c r="L170" t="s">
        <v>344</v>
      </c>
      <c r="M170" t="s">
        <v>347</v>
      </c>
      <c r="N170" t="s">
        <v>351</v>
      </c>
      <c r="O170" t="s">
        <v>356</v>
      </c>
      <c r="P170" t="s">
        <v>360</v>
      </c>
      <c r="Q170">
        <v>97.21</v>
      </c>
      <c r="R170">
        <v>1</v>
      </c>
      <c r="S170">
        <v>-20.98</v>
      </c>
    </row>
    <row r="171" spans="1:19" x14ac:dyDescent="0.25">
      <c r="A171">
        <v>170</v>
      </c>
      <c r="B171" s="2">
        <v>45279</v>
      </c>
      <c r="C171">
        <v>2023</v>
      </c>
      <c r="D171" t="s">
        <v>29</v>
      </c>
      <c r="E171" s="2">
        <v>45286</v>
      </c>
      <c r="F171">
        <v>7</v>
      </c>
      <c r="G171" t="s">
        <v>31</v>
      </c>
      <c r="H171" t="s">
        <v>124</v>
      </c>
      <c r="I171" t="s">
        <v>325</v>
      </c>
      <c r="J171" t="s">
        <v>327</v>
      </c>
      <c r="K171" t="s">
        <v>337</v>
      </c>
      <c r="L171" t="s">
        <v>344</v>
      </c>
      <c r="M171" t="s">
        <v>347</v>
      </c>
      <c r="N171" t="s">
        <v>350</v>
      </c>
      <c r="O171" t="s">
        <v>353</v>
      </c>
      <c r="P171" t="s">
        <v>361</v>
      </c>
      <c r="Q171">
        <v>494.02</v>
      </c>
      <c r="R171">
        <v>6</v>
      </c>
      <c r="S171">
        <v>245.98</v>
      </c>
    </row>
    <row r="172" spans="1:19" x14ac:dyDescent="0.25">
      <c r="A172">
        <v>171</v>
      </c>
      <c r="B172" s="2">
        <v>44362</v>
      </c>
      <c r="C172">
        <v>2021</v>
      </c>
      <c r="D172" t="s">
        <v>21</v>
      </c>
      <c r="E172" s="2">
        <v>44363</v>
      </c>
      <c r="F172">
        <v>1</v>
      </c>
      <c r="G172" t="s">
        <v>33</v>
      </c>
      <c r="H172" t="s">
        <v>165</v>
      </c>
      <c r="I172" t="s">
        <v>324</v>
      </c>
      <c r="J172" t="s">
        <v>326</v>
      </c>
      <c r="K172" t="s">
        <v>333</v>
      </c>
      <c r="L172" t="s">
        <v>342</v>
      </c>
      <c r="M172" t="s">
        <v>345</v>
      </c>
      <c r="N172" t="s">
        <v>350</v>
      </c>
      <c r="O172" t="s">
        <v>354</v>
      </c>
      <c r="P172" t="s">
        <v>360</v>
      </c>
      <c r="Q172">
        <v>97.11</v>
      </c>
      <c r="R172">
        <v>1</v>
      </c>
      <c r="S172">
        <v>-2.76</v>
      </c>
    </row>
    <row r="173" spans="1:19" x14ac:dyDescent="0.25">
      <c r="A173">
        <v>172</v>
      </c>
      <c r="B173" s="2">
        <v>45369</v>
      </c>
      <c r="C173">
        <v>2024</v>
      </c>
      <c r="D173" t="s">
        <v>24</v>
      </c>
      <c r="E173" s="2">
        <v>45377</v>
      </c>
      <c r="F173">
        <v>8</v>
      </c>
      <c r="G173" t="s">
        <v>32</v>
      </c>
      <c r="H173" t="s">
        <v>166</v>
      </c>
      <c r="I173" t="s">
        <v>325</v>
      </c>
      <c r="J173" t="s">
        <v>327</v>
      </c>
      <c r="K173" t="s">
        <v>334</v>
      </c>
      <c r="L173" t="s">
        <v>334</v>
      </c>
      <c r="M173" t="s">
        <v>349</v>
      </c>
      <c r="N173" t="s">
        <v>350</v>
      </c>
      <c r="O173" t="s">
        <v>353</v>
      </c>
      <c r="P173" t="s">
        <v>359</v>
      </c>
      <c r="Q173">
        <v>364.88</v>
      </c>
      <c r="R173">
        <v>2</v>
      </c>
      <c r="S173">
        <v>-47.96</v>
      </c>
    </row>
    <row r="174" spans="1:19" x14ac:dyDescent="0.25">
      <c r="A174">
        <v>173</v>
      </c>
      <c r="B174" s="2">
        <v>44467</v>
      </c>
      <c r="C174">
        <v>2021</v>
      </c>
      <c r="D174" t="s">
        <v>25</v>
      </c>
      <c r="E174" s="2">
        <v>44475</v>
      </c>
      <c r="F174">
        <v>8</v>
      </c>
      <c r="G174" t="s">
        <v>32</v>
      </c>
      <c r="H174" t="s">
        <v>166</v>
      </c>
      <c r="I174" t="s">
        <v>323</v>
      </c>
      <c r="J174" t="s">
        <v>326</v>
      </c>
      <c r="K174" t="s">
        <v>331</v>
      </c>
      <c r="L174" t="s">
        <v>340</v>
      </c>
      <c r="M174" t="s">
        <v>347</v>
      </c>
      <c r="N174" t="s">
        <v>352</v>
      </c>
      <c r="O174" t="s">
        <v>357</v>
      </c>
      <c r="P174" t="s">
        <v>362</v>
      </c>
      <c r="Q174">
        <v>414.05</v>
      </c>
      <c r="R174">
        <v>2</v>
      </c>
      <c r="S174">
        <v>193.61</v>
      </c>
    </row>
    <row r="175" spans="1:19" x14ac:dyDescent="0.25">
      <c r="A175">
        <v>174</v>
      </c>
      <c r="B175" s="2">
        <v>44575</v>
      </c>
      <c r="C175">
        <v>2022</v>
      </c>
      <c r="D175" t="s">
        <v>23</v>
      </c>
      <c r="E175" s="2">
        <v>44578</v>
      </c>
      <c r="F175">
        <v>3</v>
      </c>
      <c r="G175" t="s">
        <v>34</v>
      </c>
      <c r="H175" t="s">
        <v>167</v>
      </c>
      <c r="I175" t="s">
        <v>324</v>
      </c>
      <c r="J175" t="s">
        <v>327</v>
      </c>
      <c r="K175" t="s">
        <v>334</v>
      </c>
      <c r="L175" t="s">
        <v>334</v>
      </c>
      <c r="M175" t="s">
        <v>349</v>
      </c>
      <c r="N175" t="s">
        <v>352</v>
      </c>
      <c r="O175" t="s">
        <v>357</v>
      </c>
      <c r="P175" t="s">
        <v>362</v>
      </c>
      <c r="Q175">
        <v>498.54</v>
      </c>
      <c r="R175">
        <v>10</v>
      </c>
      <c r="S175">
        <v>146.84</v>
      </c>
    </row>
    <row r="176" spans="1:19" x14ac:dyDescent="0.25">
      <c r="A176">
        <v>175</v>
      </c>
      <c r="B176" s="2">
        <v>45343</v>
      </c>
      <c r="C176">
        <v>2024</v>
      </c>
      <c r="D176" t="s">
        <v>28</v>
      </c>
      <c r="E176" s="2">
        <v>45344</v>
      </c>
      <c r="F176">
        <v>1</v>
      </c>
      <c r="G176" t="s">
        <v>32</v>
      </c>
      <c r="H176" t="s">
        <v>97</v>
      </c>
      <c r="I176" t="s">
        <v>324</v>
      </c>
      <c r="J176" t="s">
        <v>328</v>
      </c>
      <c r="K176" t="s">
        <v>332</v>
      </c>
      <c r="L176" t="s">
        <v>341</v>
      </c>
      <c r="M176" t="s">
        <v>348</v>
      </c>
      <c r="N176" t="s">
        <v>352</v>
      </c>
      <c r="O176" t="s">
        <v>358</v>
      </c>
      <c r="P176" t="s">
        <v>362</v>
      </c>
      <c r="Q176">
        <v>238.05</v>
      </c>
      <c r="R176">
        <v>1</v>
      </c>
      <c r="S176">
        <v>77.25</v>
      </c>
    </row>
    <row r="177" spans="1:19" x14ac:dyDescent="0.25">
      <c r="A177">
        <v>176</v>
      </c>
      <c r="B177" s="2">
        <v>45635</v>
      </c>
      <c r="C177">
        <v>2024</v>
      </c>
      <c r="D177" t="s">
        <v>29</v>
      </c>
      <c r="E177" s="2">
        <v>45643</v>
      </c>
      <c r="F177">
        <v>8</v>
      </c>
      <c r="G177" t="s">
        <v>33</v>
      </c>
      <c r="H177" t="s">
        <v>104</v>
      </c>
      <c r="I177" t="s">
        <v>325</v>
      </c>
      <c r="J177" t="s">
        <v>326</v>
      </c>
      <c r="K177" t="s">
        <v>329</v>
      </c>
      <c r="L177" t="s">
        <v>338</v>
      </c>
      <c r="M177" t="s">
        <v>345</v>
      </c>
      <c r="N177" t="s">
        <v>351</v>
      </c>
      <c r="O177" t="s">
        <v>355</v>
      </c>
      <c r="P177" t="s">
        <v>361</v>
      </c>
      <c r="Q177">
        <v>420.4</v>
      </c>
      <c r="R177">
        <v>3</v>
      </c>
      <c r="S177">
        <v>6.48</v>
      </c>
    </row>
    <row r="178" spans="1:19" x14ac:dyDescent="0.25">
      <c r="A178">
        <v>177</v>
      </c>
      <c r="B178" s="2">
        <v>44498</v>
      </c>
      <c r="C178">
        <v>2021</v>
      </c>
      <c r="D178" t="s">
        <v>22</v>
      </c>
      <c r="E178" s="2">
        <v>44502</v>
      </c>
      <c r="F178">
        <v>4</v>
      </c>
      <c r="G178" t="s">
        <v>31</v>
      </c>
      <c r="H178" t="s">
        <v>168</v>
      </c>
      <c r="I178" t="s">
        <v>323</v>
      </c>
      <c r="J178" t="s">
        <v>326</v>
      </c>
      <c r="K178" t="s">
        <v>329</v>
      </c>
      <c r="L178" t="s">
        <v>338</v>
      </c>
      <c r="M178" t="s">
        <v>345</v>
      </c>
      <c r="N178" t="s">
        <v>352</v>
      </c>
      <c r="O178" t="s">
        <v>357</v>
      </c>
      <c r="P178" t="s">
        <v>360</v>
      </c>
      <c r="Q178">
        <v>328.19</v>
      </c>
      <c r="R178">
        <v>9</v>
      </c>
      <c r="S178">
        <v>-67.819999999999993</v>
      </c>
    </row>
    <row r="179" spans="1:19" x14ac:dyDescent="0.25">
      <c r="A179">
        <v>178</v>
      </c>
      <c r="B179" s="2">
        <v>45469</v>
      </c>
      <c r="C179">
        <v>2024</v>
      </c>
      <c r="D179" t="s">
        <v>21</v>
      </c>
      <c r="E179" s="2">
        <v>45472</v>
      </c>
      <c r="F179">
        <v>3</v>
      </c>
      <c r="G179" t="s">
        <v>33</v>
      </c>
      <c r="H179" t="s">
        <v>131</v>
      </c>
      <c r="I179" t="s">
        <v>325</v>
      </c>
      <c r="J179" t="s">
        <v>326</v>
      </c>
      <c r="K179" t="s">
        <v>333</v>
      </c>
      <c r="L179" t="s">
        <v>342</v>
      </c>
      <c r="M179" t="s">
        <v>345</v>
      </c>
      <c r="N179" t="s">
        <v>350</v>
      </c>
      <c r="O179" t="s">
        <v>354</v>
      </c>
      <c r="P179" t="s">
        <v>361</v>
      </c>
      <c r="Q179">
        <v>36.549999999999997</v>
      </c>
      <c r="R179">
        <v>10</v>
      </c>
      <c r="S179">
        <v>7.07</v>
      </c>
    </row>
    <row r="180" spans="1:19" x14ac:dyDescent="0.25">
      <c r="A180">
        <v>179</v>
      </c>
      <c r="B180" s="2">
        <v>45615</v>
      </c>
      <c r="C180">
        <v>2024</v>
      </c>
      <c r="D180" t="s">
        <v>30</v>
      </c>
      <c r="E180" s="2">
        <v>45622</v>
      </c>
      <c r="F180">
        <v>7</v>
      </c>
      <c r="G180" t="s">
        <v>34</v>
      </c>
      <c r="H180" t="s">
        <v>169</v>
      </c>
      <c r="I180" t="s">
        <v>325</v>
      </c>
      <c r="J180" t="s">
        <v>326</v>
      </c>
      <c r="K180" t="s">
        <v>329</v>
      </c>
      <c r="L180" t="s">
        <v>338</v>
      </c>
      <c r="M180" t="s">
        <v>345</v>
      </c>
      <c r="N180" t="s">
        <v>352</v>
      </c>
      <c r="O180" t="s">
        <v>358</v>
      </c>
      <c r="P180" t="s">
        <v>362</v>
      </c>
      <c r="Q180">
        <v>429.01</v>
      </c>
      <c r="R180">
        <v>8</v>
      </c>
      <c r="S180">
        <v>-28.19</v>
      </c>
    </row>
    <row r="181" spans="1:19" x14ac:dyDescent="0.25">
      <c r="A181">
        <v>180</v>
      </c>
      <c r="B181" s="2">
        <v>44528</v>
      </c>
      <c r="C181">
        <v>2021</v>
      </c>
      <c r="D181" t="s">
        <v>30</v>
      </c>
      <c r="E181" s="2">
        <v>44538</v>
      </c>
      <c r="F181">
        <v>10</v>
      </c>
      <c r="G181" t="s">
        <v>33</v>
      </c>
      <c r="H181" t="s">
        <v>150</v>
      </c>
      <c r="I181" t="s">
        <v>323</v>
      </c>
      <c r="J181" t="s">
        <v>328</v>
      </c>
      <c r="K181" t="s">
        <v>336</v>
      </c>
      <c r="L181" t="s">
        <v>343</v>
      </c>
      <c r="M181" t="s">
        <v>347</v>
      </c>
      <c r="N181" t="s">
        <v>352</v>
      </c>
      <c r="O181" t="s">
        <v>357</v>
      </c>
      <c r="P181" t="s">
        <v>362</v>
      </c>
      <c r="Q181">
        <v>174.5</v>
      </c>
      <c r="R181">
        <v>1</v>
      </c>
      <c r="S181">
        <v>0.57999999999999996</v>
      </c>
    </row>
    <row r="182" spans="1:19" x14ac:dyDescent="0.25">
      <c r="A182">
        <v>181</v>
      </c>
      <c r="B182" s="2">
        <v>45305</v>
      </c>
      <c r="C182">
        <v>2024</v>
      </c>
      <c r="D182" t="s">
        <v>23</v>
      </c>
      <c r="E182" s="2">
        <v>45308</v>
      </c>
      <c r="F182">
        <v>3</v>
      </c>
      <c r="G182" t="s">
        <v>32</v>
      </c>
      <c r="H182" t="s">
        <v>155</v>
      </c>
      <c r="I182" t="s">
        <v>325</v>
      </c>
      <c r="J182" t="s">
        <v>327</v>
      </c>
      <c r="K182" t="s">
        <v>330</v>
      </c>
      <c r="L182" t="s">
        <v>339</v>
      </c>
      <c r="M182" t="s">
        <v>346</v>
      </c>
      <c r="N182" t="s">
        <v>351</v>
      </c>
      <c r="O182" t="s">
        <v>355</v>
      </c>
      <c r="P182" t="s">
        <v>360</v>
      </c>
      <c r="Q182">
        <v>147.78</v>
      </c>
      <c r="R182">
        <v>9</v>
      </c>
      <c r="S182">
        <v>-23.84</v>
      </c>
    </row>
    <row r="183" spans="1:19" x14ac:dyDescent="0.25">
      <c r="A183">
        <v>182</v>
      </c>
      <c r="B183" s="2">
        <v>43917</v>
      </c>
      <c r="C183">
        <v>2020</v>
      </c>
      <c r="D183" t="s">
        <v>24</v>
      </c>
      <c r="E183" s="2">
        <v>43921</v>
      </c>
      <c r="F183">
        <v>4</v>
      </c>
      <c r="G183" t="s">
        <v>32</v>
      </c>
      <c r="H183" t="s">
        <v>126</v>
      </c>
      <c r="I183" t="s">
        <v>325</v>
      </c>
      <c r="J183" t="s">
        <v>326</v>
      </c>
      <c r="K183" t="s">
        <v>331</v>
      </c>
      <c r="L183" t="s">
        <v>340</v>
      </c>
      <c r="M183" t="s">
        <v>347</v>
      </c>
      <c r="N183" t="s">
        <v>352</v>
      </c>
      <c r="O183" t="s">
        <v>358</v>
      </c>
      <c r="P183" t="s">
        <v>362</v>
      </c>
      <c r="Q183">
        <v>144</v>
      </c>
      <c r="R183">
        <v>6</v>
      </c>
      <c r="S183">
        <v>11.38</v>
      </c>
    </row>
    <row r="184" spans="1:19" x14ac:dyDescent="0.25">
      <c r="A184">
        <v>183</v>
      </c>
      <c r="B184" s="2">
        <v>45179</v>
      </c>
      <c r="C184">
        <v>2023</v>
      </c>
      <c r="D184" t="s">
        <v>25</v>
      </c>
      <c r="E184" s="2">
        <v>45186</v>
      </c>
      <c r="F184">
        <v>7</v>
      </c>
      <c r="G184" t="s">
        <v>32</v>
      </c>
      <c r="H184" t="s">
        <v>75</v>
      </c>
      <c r="I184" t="s">
        <v>325</v>
      </c>
      <c r="J184" t="s">
        <v>328</v>
      </c>
      <c r="K184" t="s">
        <v>332</v>
      </c>
      <c r="L184" t="s">
        <v>341</v>
      </c>
      <c r="M184" t="s">
        <v>348</v>
      </c>
      <c r="N184" t="s">
        <v>350</v>
      </c>
      <c r="O184" t="s">
        <v>353</v>
      </c>
      <c r="P184" t="s">
        <v>362</v>
      </c>
      <c r="Q184">
        <v>215.25</v>
      </c>
      <c r="R184">
        <v>2</v>
      </c>
      <c r="S184">
        <v>-54.41</v>
      </c>
    </row>
    <row r="185" spans="1:19" x14ac:dyDescent="0.25">
      <c r="A185">
        <v>184</v>
      </c>
      <c r="B185" s="2">
        <v>45810</v>
      </c>
      <c r="C185">
        <v>2025</v>
      </c>
      <c r="D185" t="s">
        <v>21</v>
      </c>
      <c r="E185" s="2">
        <v>45820</v>
      </c>
      <c r="F185">
        <v>10</v>
      </c>
      <c r="G185" t="s">
        <v>33</v>
      </c>
      <c r="H185" t="s">
        <v>118</v>
      </c>
      <c r="I185" t="s">
        <v>324</v>
      </c>
      <c r="J185" t="s">
        <v>328</v>
      </c>
      <c r="K185" t="s">
        <v>332</v>
      </c>
      <c r="L185" t="s">
        <v>341</v>
      </c>
      <c r="M185" t="s">
        <v>348</v>
      </c>
      <c r="N185" t="s">
        <v>350</v>
      </c>
      <c r="O185" t="s">
        <v>353</v>
      </c>
      <c r="P185" t="s">
        <v>361</v>
      </c>
      <c r="Q185">
        <v>27.81</v>
      </c>
      <c r="R185">
        <v>1</v>
      </c>
      <c r="S185">
        <v>0.36</v>
      </c>
    </row>
    <row r="186" spans="1:19" x14ac:dyDescent="0.25">
      <c r="A186">
        <v>185</v>
      </c>
      <c r="B186" s="2">
        <v>45442</v>
      </c>
      <c r="C186">
        <v>2024</v>
      </c>
      <c r="D186" t="s">
        <v>19</v>
      </c>
      <c r="E186" s="2">
        <v>45448</v>
      </c>
      <c r="F186">
        <v>6</v>
      </c>
      <c r="G186" t="s">
        <v>31</v>
      </c>
      <c r="H186" t="s">
        <v>52</v>
      </c>
      <c r="I186" t="s">
        <v>324</v>
      </c>
      <c r="J186" t="s">
        <v>328</v>
      </c>
      <c r="K186" t="s">
        <v>336</v>
      </c>
      <c r="L186" t="s">
        <v>343</v>
      </c>
      <c r="M186" t="s">
        <v>347</v>
      </c>
      <c r="N186" t="s">
        <v>351</v>
      </c>
      <c r="O186" t="s">
        <v>356</v>
      </c>
      <c r="P186" t="s">
        <v>360</v>
      </c>
      <c r="Q186">
        <v>351.22</v>
      </c>
      <c r="R186">
        <v>10</v>
      </c>
      <c r="S186">
        <v>-19.260000000000002</v>
      </c>
    </row>
    <row r="187" spans="1:19" x14ac:dyDescent="0.25">
      <c r="A187">
        <v>186</v>
      </c>
      <c r="B187" s="2">
        <v>45149</v>
      </c>
      <c r="C187">
        <v>2023</v>
      </c>
      <c r="D187" t="s">
        <v>27</v>
      </c>
      <c r="E187" s="2">
        <v>45156</v>
      </c>
      <c r="F187">
        <v>7</v>
      </c>
      <c r="G187" t="s">
        <v>34</v>
      </c>
      <c r="H187" t="s">
        <v>170</v>
      </c>
      <c r="I187" t="s">
        <v>323</v>
      </c>
      <c r="J187" t="s">
        <v>328</v>
      </c>
      <c r="K187" t="s">
        <v>336</v>
      </c>
      <c r="L187" t="s">
        <v>343</v>
      </c>
      <c r="M187" t="s">
        <v>347</v>
      </c>
      <c r="N187" t="s">
        <v>351</v>
      </c>
      <c r="O187" t="s">
        <v>356</v>
      </c>
      <c r="P187" t="s">
        <v>360</v>
      </c>
      <c r="Q187">
        <v>432.62</v>
      </c>
      <c r="R187">
        <v>8</v>
      </c>
      <c r="S187">
        <v>127.01</v>
      </c>
    </row>
    <row r="188" spans="1:19" x14ac:dyDescent="0.25">
      <c r="A188">
        <v>187</v>
      </c>
      <c r="B188" s="2">
        <v>44634</v>
      </c>
      <c r="C188">
        <v>2022</v>
      </c>
      <c r="D188" t="s">
        <v>24</v>
      </c>
      <c r="E188" s="2">
        <v>44635</v>
      </c>
      <c r="F188">
        <v>1</v>
      </c>
      <c r="G188" t="s">
        <v>34</v>
      </c>
      <c r="H188" t="s">
        <v>171</v>
      </c>
      <c r="I188" t="s">
        <v>323</v>
      </c>
      <c r="J188" t="s">
        <v>328</v>
      </c>
      <c r="K188" t="s">
        <v>332</v>
      </c>
      <c r="L188" t="s">
        <v>341</v>
      </c>
      <c r="M188" t="s">
        <v>348</v>
      </c>
      <c r="N188" t="s">
        <v>352</v>
      </c>
      <c r="O188" t="s">
        <v>358</v>
      </c>
      <c r="P188" t="s">
        <v>361</v>
      </c>
      <c r="Q188">
        <v>206.23</v>
      </c>
      <c r="R188">
        <v>7</v>
      </c>
      <c r="S188">
        <v>83.56</v>
      </c>
    </row>
    <row r="189" spans="1:19" x14ac:dyDescent="0.25">
      <c r="A189">
        <v>188</v>
      </c>
      <c r="B189" s="2">
        <v>44799</v>
      </c>
      <c r="C189">
        <v>2022</v>
      </c>
      <c r="D189" t="s">
        <v>27</v>
      </c>
      <c r="E189" s="2">
        <v>44806</v>
      </c>
      <c r="F189">
        <v>7</v>
      </c>
      <c r="G189" t="s">
        <v>32</v>
      </c>
      <c r="H189" t="s">
        <v>62</v>
      </c>
      <c r="I189" t="s">
        <v>323</v>
      </c>
      <c r="J189" t="s">
        <v>328</v>
      </c>
      <c r="K189" t="s">
        <v>335</v>
      </c>
      <c r="L189" t="s">
        <v>335</v>
      </c>
      <c r="M189" t="s">
        <v>345</v>
      </c>
      <c r="N189" t="s">
        <v>352</v>
      </c>
      <c r="O189" t="s">
        <v>357</v>
      </c>
      <c r="P189" t="s">
        <v>360</v>
      </c>
      <c r="Q189">
        <v>385.48</v>
      </c>
      <c r="R189">
        <v>4</v>
      </c>
      <c r="S189">
        <v>185.34</v>
      </c>
    </row>
    <row r="190" spans="1:19" x14ac:dyDescent="0.25">
      <c r="A190">
        <v>189</v>
      </c>
      <c r="B190" s="2">
        <v>45115</v>
      </c>
      <c r="C190">
        <v>2023</v>
      </c>
      <c r="D190" t="s">
        <v>20</v>
      </c>
      <c r="E190" s="2">
        <v>45123</v>
      </c>
      <c r="F190">
        <v>8</v>
      </c>
      <c r="G190" t="s">
        <v>34</v>
      </c>
      <c r="H190" t="s">
        <v>69</v>
      </c>
      <c r="I190" t="s">
        <v>323</v>
      </c>
      <c r="J190" t="s">
        <v>326</v>
      </c>
      <c r="K190" t="s">
        <v>329</v>
      </c>
      <c r="L190" t="s">
        <v>338</v>
      </c>
      <c r="M190" t="s">
        <v>345</v>
      </c>
      <c r="N190" t="s">
        <v>352</v>
      </c>
      <c r="O190" t="s">
        <v>358</v>
      </c>
      <c r="P190" t="s">
        <v>360</v>
      </c>
      <c r="Q190">
        <v>393.19</v>
      </c>
      <c r="R190">
        <v>6</v>
      </c>
      <c r="S190">
        <v>-10.32</v>
      </c>
    </row>
    <row r="191" spans="1:19" x14ac:dyDescent="0.25">
      <c r="A191">
        <v>190</v>
      </c>
      <c r="B191" s="2">
        <v>44725</v>
      </c>
      <c r="C191">
        <v>2022</v>
      </c>
      <c r="D191" t="s">
        <v>21</v>
      </c>
      <c r="E191" s="2">
        <v>44734</v>
      </c>
      <c r="F191">
        <v>9</v>
      </c>
      <c r="G191" t="s">
        <v>31</v>
      </c>
      <c r="H191" t="s">
        <v>106</v>
      </c>
      <c r="I191" t="s">
        <v>325</v>
      </c>
      <c r="J191" t="s">
        <v>328</v>
      </c>
      <c r="K191" t="s">
        <v>332</v>
      </c>
      <c r="L191" t="s">
        <v>341</v>
      </c>
      <c r="M191" t="s">
        <v>348</v>
      </c>
      <c r="N191" t="s">
        <v>351</v>
      </c>
      <c r="O191" t="s">
        <v>355</v>
      </c>
      <c r="P191" t="s">
        <v>361</v>
      </c>
      <c r="Q191">
        <v>402.48</v>
      </c>
      <c r="R191">
        <v>10</v>
      </c>
      <c r="S191">
        <v>173.32</v>
      </c>
    </row>
    <row r="192" spans="1:19" x14ac:dyDescent="0.25">
      <c r="A192">
        <v>191</v>
      </c>
      <c r="B192" s="2">
        <v>44363</v>
      </c>
      <c r="C192">
        <v>2021</v>
      </c>
      <c r="D192" t="s">
        <v>21</v>
      </c>
      <c r="E192" s="2">
        <v>44364</v>
      </c>
      <c r="F192">
        <v>1</v>
      </c>
      <c r="G192" t="s">
        <v>33</v>
      </c>
      <c r="H192" t="s">
        <v>172</v>
      </c>
      <c r="I192" t="s">
        <v>325</v>
      </c>
      <c r="J192" t="s">
        <v>328</v>
      </c>
      <c r="K192" t="s">
        <v>336</v>
      </c>
      <c r="L192" t="s">
        <v>343</v>
      </c>
      <c r="M192" t="s">
        <v>347</v>
      </c>
      <c r="N192" t="s">
        <v>352</v>
      </c>
      <c r="O192" t="s">
        <v>358</v>
      </c>
      <c r="P192" t="s">
        <v>361</v>
      </c>
      <c r="Q192">
        <v>181.17</v>
      </c>
      <c r="R192">
        <v>2</v>
      </c>
      <c r="S192">
        <v>-28.96</v>
      </c>
    </row>
    <row r="193" spans="1:19" x14ac:dyDescent="0.25">
      <c r="A193">
        <v>192</v>
      </c>
      <c r="B193" s="2">
        <v>45194</v>
      </c>
      <c r="C193">
        <v>2023</v>
      </c>
      <c r="D193" t="s">
        <v>25</v>
      </c>
      <c r="E193" s="2">
        <v>45202</v>
      </c>
      <c r="F193">
        <v>8</v>
      </c>
      <c r="G193" t="s">
        <v>31</v>
      </c>
      <c r="H193" t="s">
        <v>173</v>
      </c>
      <c r="I193" t="s">
        <v>324</v>
      </c>
      <c r="J193" t="s">
        <v>327</v>
      </c>
      <c r="K193" t="s">
        <v>330</v>
      </c>
      <c r="L193" t="s">
        <v>339</v>
      </c>
      <c r="M193" t="s">
        <v>346</v>
      </c>
      <c r="N193" t="s">
        <v>350</v>
      </c>
      <c r="O193" t="s">
        <v>353</v>
      </c>
      <c r="P193" t="s">
        <v>360</v>
      </c>
      <c r="Q193">
        <v>430</v>
      </c>
      <c r="R193">
        <v>1</v>
      </c>
      <c r="S193">
        <v>-124.39</v>
      </c>
    </row>
    <row r="194" spans="1:19" x14ac:dyDescent="0.25">
      <c r="A194">
        <v>193</v>
      </c>
      <c r="B194" s="2">
        <v>45664</v>
      </c>
      <c r="C194">
        <v>2025</v>
      </c>
      <c r="D194" t="s">
        <v>23</v>
      </c>
      <c r="E194" s="2">
        <v>45670</v>
      </c>
      <c r="F194">
        <v>6</v>
      </c>
      <c r="G194" t="s">
        <v>34</v>
      </c>
      <c r="H194" t="s">
        <v>174</v>
      </c>
      <c r="I194" t="s">
        <v>325</v>
      </c>
      <c r="J194" t="s">
        <v>328</v>
      </c>
      <c r="K194" t="s">
        <v>332</v>
      </c>
      <c r="L194" t="s">
        <v>341</v>
      </c>
      <c r="M194" t="s">
        <v>348</v>
      </c>
      <c r="N194" t="s">
        <v>352</v>
      </c>
      <c r="O194" t="s">
        <v>358</v>
      </c>
      <c r="P194" t="s">
        <v>361</v>
      </c>
      <c r="Q194">
        <v>135.06</v>
      </c>
      <c r="R194">
        <v>1</v>
      </c>
      <c r="S194">
        <v>3.86</v>
      </c>
    </row>
    <row r="195" spans="1:19" x14ac:dyDescent="0.25">
      <c r="A195">
        <v>194</v>
      </c>
      <c r="B195" s="2">
        <v>44416</v>
      </c>
      <c r="C195">
        <v>2021</v>
      </c>
      <c r="D195" t="s">
        <v>27</v>
      </c>
      <c r="E195" s="2">
        <v>44422</v>
      </c>
      <c r="F195">
        <v>6</v>
      </c>
      <c r="G195" t="s">
        <v>34</v>
      </c>
      <c r="H195" t="s">
        <v>84</v>
      </c>
      <c r="I195" t="s">
        <v>324</v>
      </c>
      <c r="J195" t="s">
        <v>327</v>
      </c>
      <c r="K195" t="s">
        <v>330</v>
      </c>
      <c r="L195" t="s">
        <v>339</v>
      </c>
      <c r="M195" t="s">
        <v>346</v>
      </c>
      <c r="N195" t="s">
        <v>351</v>
      </c>
      <c r="O195" t="s">
        <v>356</v>
      </c>
      <c r="P195" t="s">
        <v>359</v>
      </c>
      <c r="Q195">
        <v>419.58</v>
      </c>
      <c r="R195">
        <v>3</v>
      </c>
      <c r="S195">
        <v>-85.64</v>
      </c>
    </row>
    <row r="196" spans="1:19" x14ac:dyDescent="0.25">
      <c r="A196">
        <v>195</v>
      </c>
      <c r="B196" s="2">
        <v>44993</v>
      </c>
      <c r="C196">
        <v>2023</v>
      </c>
      <c r="D196" t="s">
        <v>24</v>
      </c>
      <c r="E196" s="2">
        <v>44997</v>
      </c>
      <c r="F196">
        <v>4</v>
      </c>
      <c r="G196" t="s">
        <v>32</v>
      </c>
      <c r="H196" t="s">
        <v>175</v>
      </c>
      <c r="I196" t="s">
        <v>323</v>
      </c>
      <c r="J196" t="s">
        <v>327</v>
      </c>
      <c r="K196" t="s">
        <v>334</v>
      </c>
      <c r="L196" t="s">
        <v>334</v>
      </c>
      <c r="M196" t="s">
        <v>349</v>
      </c>
      <c r="N196" t="s">
        <v>352</v>
      </c>
      <c r="O196" t="s">
        <v>358</v>
      </c>
      <c r="P196" t="s">
        <v>360</v>
      </c>
      <c r="Q196">
        <v>479.36</v>
      </c>
      <c r="R196">
        <v>8</v>
      </c>
      <c r="S196">
        <v>-58.93</v>
      </c>
    </row>
    <row r="197" spans="1:19" x14ac:dyDescent="0.25">
      <c r="A197">
        <v>196</v>
      </c>
      <c r="B197" s="2">
        <v>43860</v>
      </c>
      <c r="C197">
        <v>2020</v>
      </c>
      <c r="D197" t="s">
        <v>23</v>
      </c>
      <c r="E197" s="2">
        <v>43864</v>
      </c>
      <c r="F197">
        <v>4</v>
      </c>
      <c r="G197" t="s">
        <v>31</v>
      </c>
      <c r="H197" t="s">
        <v>176</v>
      </c>
      <c r="I197" t="s">
        <v>325</v>
      </c>
      <c r="J197" t="s">
        <v>327</v>
      </c>
      <c r="K197" t="s">
        <v>330</v>
      </c>
      <c r="L197" t="s">
        <v>339</v>
      </c>
      <c r="M197" t="s">
        <v>346</v>
      </c>
      <c r="N197" t="s">
        <v>350</v>
      </c>
      <c r="O197" t="s">
        <v>353</v>
      </c>
      <c r="P197" t="s">
        <v>359</v>
      </c>
      <c r="Q197">
        <v>439.86</v>
      </c>
      <c r="R197">
        <v>8</v>
      </c>
      <c r="S197">
        <v>-11.73</v>
      </c>
    </row>
    <row r="198" spans="1:19" x14ac:dyDescent="0.25">
      <c r="A198">
        <v>197</v>
      </c>
      <c r="B198" s="2">
        <v>45857</v>
      </c>
      <c r="C198">
        <v>2025</v>
      </c>
      <c r="D198" t="s">
        <v>20</v>
      </c>
      <c r="E198" s="2">
        <v>45865</v>
      </c>
      <c r="F198">
        <v>8</v>
      </c>
      <c r="G198" t="s">
        <v>33</v>
      </c>
      <c r="H198" t="s">
        <v>177</v>
      </c>
      <c r="I198" t="s">
        <v>324</v>
      </c>
      <c r="J198" t="s">
        <v>326</v>
      </c>
      <c r="K198" t="s">
        <v>331</v>
      </c>
      <c r="L198" t="s">
        <v>340</v>
      </c>
      <c r="M198" t="s">
        <v>347</v>
      </c>
      <c r="N198" t="s">
        <v>352</v>
      </c>
      <c r="O198" t="s">
        <v>358</v>
      </c>
      <c r="P198" t="s">
        <v>359</v>
      </c>
      <c r="Q198">
        <v>315.39999999999998</v>
      </c>
      <c r="R198">
        <v>3</v>
      </c>
      <c r="S198">
        <v>-90.11</v>
      </c>
    </row>
    <row r="199" spans="1:19" x14ac:dyDescent="0.25">
      <c r="A199">
        <v>198</v>
      </c>
      <c r="B199" s="2">
        <v>44721</v>
      </c>
      <c r="C199">
        <v>2022</v>
      </c>
      <c r="D199" t="s">
        <v>21</v>
      </c>
      <c r="E199" s="2">
        <v>44722</v>
      </c>
      <c r="F199">
        <v>1</v>
      </c>
      <c r="G199" t="s">
        <v>32</v>
      </c>
      <c r="H199" t="s">
        <v>54</v>
      </c>
      <c r="I199" t="s">
        <v>325</v>
      </c>
      <c r="J199" t="s">
        <v>327</v>
      </c>
      <c r="K199" t="s">
        <v>337</v>
      </c>
      <c r="L199" t="s">
        <v>344</v>
      </c>
      <c r="M199" t="s">
        <v>347</v>
      </c>
      <c r="N199" t="s">
        <v>350</v>
      </c>
      <c r="O199" t="s">
        <v>353</v>
      </c>
      <c r="P199" t="s">
        <v>362</v>
      </c>
      <c r="Q199">
        <v>138.26</v>
      </c>
      <c r="R199">
        <v>6</v>
      </c>
      <c r="S199">
        <v>61.97</v>
      </c>
    </row>
    <row r="200" spans="1:19" x14ac:dyDescent="0.25">
      <c r="A200">
        <v>199</v>
      </c>
      <c r="B200" s="2">
        <v>45165</v>
      </c>
      <c r="C200">
        <v>2023</v>
      </c>
      <c r="D200" t="s">
        <v>27</v>
      </c>
      <c r="E200" s="2">
        <v>45171</v>
      </c>
      <c r="F200">
        <v>6</v>
      </c>
      <c r="G200" t="s">
        <v>34</v>
      </c>
      <c r="H200" t="s">
        <v>178</v>
      </c>
      <c r="I200" t="s">
        <v>323</v>
      </c>
      <c r="J200" t="s">
        <v>328</v>
      </c>
      <c r="K200" t="s">
        <v>336</v>
      </c>
      <c r="L200" t="s">
        <v>343</v>
      </c>
      <c r="M200" t="s">
        <v>347</v>
      </c>
      <c r="N200" t="s">
        <v>352</v>
      </c>
      <c r="O200" t="s">
        <v>357</v>
      </c>
      <c r="P200" t="s">
        <v>361</v>
      </c>
      <c r="Q200">
        <v>314.85000000000002</v>
      </c>
      <c r="R200">
        <v>7</v>
      </c>
      <c r="S200">
        <v>33.85</v>
      </c>
    </row>
    <row r="201" spans="1:19" x14ac:dyDescent="0.25">
      <c r="A201">
        <v>200</v>
      </c>
      <c r="B201" s="2">
        <v>43983</v>
      </c>
      <c r="C201">
        <v>2020</v>
      </c>
      <c r="D201" t="s">
        <v>21</v>
      </c>
      <c r="E201" s="2">
        <v>43991</v>
      </c>
      <c r="F201">
        <v>8</v>
      </c>
      <c r="G201" t="s">
        <v>33</v>
      </c>
      <c r="H201" t="s">
        <v>128</v>
      </c>
      <c r="I201" t="s">
        <v>324</v>
      </c>
      <c r="J201" t="s">
        <v>328</v>
      </c>
      <c r="K201" t="s">
        <v>332</v>
      </c>
      <c r="L201" t="s">
        <v>341</v>
      </c>
      <c r="M201" t="s">
        <v>348</v>
      </c>
      <c r="N201" t="s">
        <v>351</v>
      </c>
      <c r="O201" t="s">
        <v>355</v>
      </c>
      <c r="P201" t="s">
        <v>359</v>
      </c>
      <c r="Q201">
        <v>196.63</v>
      </c>
      <c r="R201">
        <v>4</v>
      </c>
      <c r="S201">
        <v>-18.899999999999999</v>
      </c>
    </row>
    <row r="202" spans="1:19" x14ac:dyDescent="0.25">
      <c r="A202">
        <v>201</v>
      </c>
      <c r="B202" s="2">
        <v>45165</v>
      </c>
      <c r="C202">
        <v>2023</v>
      </c>
      <c r="D202" t="s">
        <v>27</v>
      </c>
      <c r="E202" s="2">
        <v>45170</v>
      </c>
      <c r="F202">
        <v>5</v>
      </c>
      <c r="G202" t="s">
        <v>32</v>
      </c>
      <c r="H202" t="s">
        <v>179</v>
      </c>
      <c r="I202" t="s">
        <v>325</v>
      </c>
      <c r="J202" t="s">
        <v>326</v>
      </c>
      <c r="K202" t="s">
        <v>329</v>
      </c>
      <c r="L202" t="s">
        <v>338</v>
      </c>
      <c r="M202" t="s">
        <v>345</v>
      </c>
      <c r="N202" t="s">
        <v>350</v>
      </c>
      <c r="O202" t="s">
        <v>354</v>
      </c>
      <c r="P202" t="s">
        <v>361</v>
      </c>
      <c r="Q202">
        <v>224.1</v>
      </c>
      <c r="R202">
        <v>2</v>
      </c>
      <c r="S202">
        <v>2.21</v>
      </c>
    </row>
    <row r="203" spans="1:19" x14ac:dyDescent="0.25">
      <c r="A203">
        <v>202</v>
      </c>
      <c r="B203" s="2">
        <v>44050</v>
      </c>
      <c r="C203">
        <v>2020</v>
      </c>
      <c r="D203" t="s">
        <v>27</v>
      </c>
      <c r="E203" s="2">
        <v>44052</v>
      </c>
      <c r="F203">
        <v>2</v>
      </c>
      <c r="G203" t="s">
        <v>31</v>
      </c>
      <c r="H203" t="s">
        <v>100</v>
      </c>
      <c r="I203" t="s">
        <v>324</v>
      </c>
      <c r="J203" t="s">
        <v>327</v>
      </c>
      <c r="K203" t="s">
        <v>330</v>
      </c>
      <c r="L203" t="s">
        <v>339</v>
      </c>
      <c r="M203" t="s">
        <v>346</v>
      </c>
      <c r="N203" t="s">
        <v>351</v>
      </c>
      <c r="O203" t="s">
        <v>355</v>
      </c>
      <c r="P203" t="s">
        <v>360</v>
      </c>
      <c r="Q203">
        <v>477.06</v>
      </c>
      <c r="R203">
        <v>2</v>
      </c>
      <c r="S203">
        <v>-87.16</v>
      </c>
    </row>
    <row r="204" spans="1:19" x14ac:dyDescent="0.25">
      <c r="A204">
        <v>203</v>
      </c>
      <c r="B204" s="2">
        <v>45223</v>
      </c>
      <c r="C204">
        <v>2023</v>
      </c>
      <c r="D204" t="s">
        <v>22</v>
      </c>
      <c r="E204" s="2">
        <v>45226</v>
      </c>
      <c r="F204">
        <v>3</v>
      </c>
      <c r="G204" t="s">
        <v>33</v>
      </c>
      <c r="H204" t="s">
        <v>180</v>
      </c>
      <c r="I204" t="s">
        <v>323</v>
      </c>
      <c r="J204" t="s">
        <v>328</v>
      </c>
      <c r="K204" t="s">
        <v>332</v>
      </c>
      <c r="L204" t="s">
        <v>341</v>
      </c>
      <c r="M204" t="s">
        <v>348</v>
      </c>
      <c r="N204" t="s">
        <v>351</v>
      </c>
      <c r="O204" t="s">
        <v>356</v>
      </c>
      <c r="P204" t="s">
        <v>359</v>
      </c>
      <c r="Q204">
        <v>445.85</v>
      </c>
      <c r="R204">
        <v>4</v>
      </c>
      <c r="S204">
        <v>38.130000000000003</v>
      </c>
    </row>
    <row r="205" spans="1:19" x14ac:dyDescent="0.25">
      <c r="A205">
        <v>204</v>
      </c>
      <c r="B205" s="2">
        <v>44008</v>
      </c>
      <c r="C205">
        <v>2020</v>
      </c>
      <c r="D205" t="s">
        <v>21</v>
      </c>
      <c r="E205" s="2">
        <v>44017</v>
      </c>
      <c r="F205">
        <v>9</v>
      </c>
      <c r="G205" t="s">
        <v>33</v>
      </c>
      <c r="H205" t="s">
        <v>108</v>
      </c>
      <c r="I205" t="s">
        <v>323</v>
      </c>
      <c r="J205" t="s">
        <v>327</v>
      </c>
      <c r="K205" t="s">
        <v>330</v>
      </c>
      <c r="L205" t="s">
        <v>339</v>
      </c>
      <c r="M205" t="s">
        <v>346</v>
      </c>
      <c r="N205" t="s">
        <v>352</v>
      </c>
      <c r="O205" t="s">
        <v>358</v>
      </c>
      <c r="P205" t="s">
        <v>361</v>
      </c>
      <c r="Q205">
        <v>164.24</v>
      </c>
      <c r="R205">
        <v>7</v>
      </c>
      <c r="S205">
        <v>5.35</v>
      </c>
    </row>
    <row r="206" spans="1:19" x14ac:dyDescent="0.25">
      <c r="A206">
        <v>205</v>
      </c>
      <c r="B206" s="2">
        <v>44905</v>
      </c>
      <c r="C206">
        <v>2022</v>
      </c>
      <c r="D206" t="s">
        <v>29</v>
      </c>
      <c r="E206" s="2">
        <v>44907</v>
      </c>
      <c r="F206">
        <v>2</v>
      </c>
      <c r="G206" t="s">
        <v>32</v>
      </c>
      <c r="H206" t="s">
        <v>138</v>
      </c>
      <c r="I206" t="s">
        <v>325</v>
      </c>
      <c r="J206" t="s">
        <v>328</v>
      </c>
      <c r="K206" t="s">
        <v>332</v>
      </c>
      <c r="L206" t="s">
        <v>341</v>
      </c>
      <c r="M206" t="s">
        <v>348</v>
      </c>
      <c r="N206" t="s">
        <v>351</v>
      </c>
      <c r="O206" t="s">
        <v>356</v>
      </c>
      <c r="P206" t="s">
        <v>359</v>
      </c>
      <c r="Q206">
        <v>482.44</v>
      </c>
      <c r="R206">
        <v>9</v>
      </c>
      <c r="S206">
        <v>82.85</v>
      </c>
    </row>
    <row r="207" spans="1:19" x14ac:dyDescent="0.25">
      <c r="A207">
        <v>206</v>
      </c>
      <c r="B207" s="2">
        <v>44140</v>
      </c>
      <c r="C207">
        <v>2020</v>
      </c>
      <c r="D207" t="s">
        <v>30</v>
      </c>
      <c r="E207" s="2">
        <v>44143</v>
      </c>
      <c r="F207">
        <v>3</v>
      </c>
      <c r="G207" t="s">
        <v>31</v>
      </c>
      <c r="H207" t="s">
        <v>181</v>
      </c>
      <c r="I207" t="s">
        <v>325</v>
      </c>
      <c r="J207" t="s">
        <v>328</v>
      </c>
      <c r="K207" t="s">
        <v>336</v>
      </c>
      <c r="L207" t="s">
        <v>343</v>
      </c>
      <c r="M207" t="s">
        <v>347</v>
      </c>
      <c r="N207" t="s">
        <v>352</v>
      </c>
      <c r="O207" t="s">
        <v>358</v>
      </c>
      <c r="P207" t="s">
        <v>362</v>
      </c>
      <c r="Q207">
        <v>232.75</v>
      </c>
      <c r="R207">
        <v>5</v>
      </c>
      <c r="S207">
        <v>25.03</v>
      </c>
    </row>
    <row r="208" spans="1:19" x14ac:dyDescent="0.25">
      <c r="A208">
        <v>207</v>
      </c>
      <c r="B208" s="2">
        <v>43935</v>
      </c>
      <c r="C208">
        <v>2020</v>
      </c>
      <c r="D208" t="s">
        <v>26</v>
      </c>
      <c r="E208" s="2">
        <v>43936</v>
      </c>
      <c r="F208">
        <v>1</v>
      </c>
      <c r="G208" t="s">
        <v>33</v>
      </c>
      <c r="H208" t="s">
        <v>95</v>
      </c>
      <c r="I208" t="s">
        <v>324</v>
      </c>
      <c r="J208" t="s">
        <v>327</v>
      </c>
      <c r="K208" t="s">
        <v>330</v>
      </c>
      <c r="L208" t="s">
        <v>339</v>
      </c>
      <c r="M208" t="s">
        <v>346</v>
      </c>
      <c r="N208" t="s">
        <v>351</v>
      </c>
      <c r="O208" t="s">
        <v>355</v>
      </c>
      <c r="P208" t="s">
        <v>361</v>
      </c>
      <c r="Q208">
        <v>140.52000000000001</v>
      </c>
      <c r="R208">
        <v>3</v>
      </c>
      <c r="S208">
        <v>-4.88</v>
      </c>
    </row>
    <row r="209" spans="1:19" x14ac:dyDescent="0.25">
      <c r="A209">
        <v>208</v>
      </c>
      <c r="B209" s="2">
        <v>44009</v>
      </c>
      <c r="C209">
        <v>2020</v>
      </c>
      <c r="D209" t="s">
        <v>21</v>
      </c>
      <c r="E209" s="2">
        <v>44013</v>
      </c>
      <c r="F209">
        <v>4</v>
      </c>
      <c r="G209" t="s">
        <v>34</v>
      </c>
      <c r="H209" t="s">
        <v>182</v>
      </c>
      <c r="I209" t="s">
        <v>324</v>
      </c>
      <c r="J209" t="s">
        <v>327</v>
      </c>
      <c r="K209" t="s">
        <v>330</v>
      </c>
      <c r="L209" t="s">
        <v>339</v>
      </c>
      <c r="M209" t="s">
        <v>346</v>
      </c>
      <c r="N209" t="s">
        <v>351</v>
      </c>
      <c r="O209" t="s">
        <v>356</v>
      </c>
      <c r="P209" t="s">
        <v>360</v>
      </c>
      <c r="Q209">
        <v>46.57</v>
      </c>
      <c r="R209">
        <v>5</v>
      </c>
      <c r="S209">
        <v>21.35</v>
      </c>
    </row>
    <row r="210" spans="1:19" x14ac:dyDescent="0.25">
      <c r="A210">
        <v>209</v>
      </c>
      <c r="B210" s="2">
        <v>45244</v>
      </c>
      <c r="C210">
        <v>2023</v>
      </c>
      <c r="D210" t="s">
        <v>30</v>
      </c>
      <c r="E210" s="2">
        <v>45250</v>
      </c>
      <c r="F210">
        <v>6</v>
      </c>
      <c r="G210" t="s">
        <v>34</v>
      </c>
      <c r="H210" t="s">
        <v>183</v>
      </c>
      <c r="I210" t="s">
        <v>325</v>
      </c>
      <c r="J210" t="s">
        <v>327</v>
      </c>
      <c r="K210" t="s">
        <v>337</v>
      </c>
      <c r="L210" t="s">
        <v>344</v>
      </c>
      <c r="M210" t="s">
        <v>347</v>
      </c>
      <c r="N210" t="s">
        <v>351</v>
      </c>
      <c r="O210" t="s">
        <v>355</v>
      </c>
      <c r="P210" t="s">
        <v>359</v>
      </c>
      <c r="Q210">
        <v>86.46</v>
      </c>
      <c r="R210">
        <v>10</v>
      </c>
      <c r="S210">
        <v>4.3</v>
      </c>
    </row>
    <row r="211" spans="1:19" x14ac:dyDescent="0.25">
      <c r="A211">
        <v>210</v>
      </c>
      <c r="B211" s="2">
        <v>45701</v>
      </c>
      <c r="C211">
        <v>2025</v>
      </c>
      <c r="D211" t="s">
        <v>28</v>
      </c>
      <c r="E211" s="2">
        <v>45707</v>
      </c>
      <c r="F211">
        <v>6</v>
      </c>
      <c r="G211" t="s">
        <v>33</v>
      </c>
      <c r="H211" t="s">
        <v>139</v>
      </c>
      <c r="I211" t="s">
        <v>323</v>
      </c>
      <c r="J211" t="s">
        <v>326</v>
      </c>
      <c r="K211" t="s">
        <v>333</v>
      </c>
      <c r="L211" t="s">
        <v>342</v>
      </c>
      <c r="M211" t="s">
        <v>345</v>
      </c>
      <c r="N211" t="s">
        <v>350</v>
      </c>
      <c r="O211" t="s">
        <v>354</v>
      </c>
      <c r="P211" t="s">
        <v>361</v>
      </c>
      <c r="Q211">
        <v>498.21</v>
      </c>
      <c r="R211">
        <v>3</v>
      </c>
      <c r="S211">
        <v>24.94</v>
      </c>
    </row>
    <row r="212" spans="1:19" x14ac:dyDescent="0.25">
      <c r="A212">
        <v>211</v>
      </c>
      <c r="B212" s="2">
        <v>45539</v>
      </c>
      <c r="C212">
        <v>2024</v>
      </c>
      <c r="D212" t="s">
        <v>25</v>
      </c>
      <c r="E212" s="2">
        <v>45545</v>
      </c>
      <c r="F212">
        <v>6</v>
      </c>
      <c r="G212" t="s">
        <v>33</v>
      </c>
      <c r="H212" t="s">
        <v>176</v>
      </c>
      <c r="I212" t="s">
        <v>325</v>
      </c>
      <c r="J212" t="s">
        <v>326</v>
      </c>
      <c r="K212" t="s">
        <v>333</v>
      </c>
      <c r="L212" t="s">
        <v>342</v>
      </c>
      <c r="M212" t="s">
        <v>345</v>
      </c>
      <c r="N212" t="s">
        <v>350</v>
      </c>
      <c r="O212" t="s">
        <v>353</v>
      </c>
      <c r="P212" t="s">
        <v>361</v>
      </c>
      <c r="Q212">
        <v>491.42</v>
      </c>
      <c r="R212">
        <v>7</v>
      </c>
      <c r="S212">
        <v>151.06</v>
      </c>
    </row>
    <row r="213" spans="1:19" x14ac:dyDescent="0.25">
      <c r="A213">
        <v>212</v>
      </c>
      <c r="B213" s="2">
        <v>44015</v>
      </c>
      <c r="C213">
        <v>2020</v>
      </c>
      <c r="D213" t="s">
        <v>20</v>
      </c>
      <c r="E213" s="2">
        <v>44017</v>
      </c>
      <c r="F213">
        <v>2</v>
      </c>
      <c r="G213" t="s">
        <v>33</v>
      </c>
      <c r="H213" t="s">
        <v>184</v>
      </c>
      <c r="I213" t="s">
        <v>324</v>
      </c>
      <c r="J213" t="s">
        <v>326</v>
      </c>
      <c r="K213" t="s">
        <v>333</v>
      </c>
      <c r="L213" t="s">
        <v>342</v>
      </c>
      <c r="M213" t="s">
        <v>345</v>
      </c>
      <c r="N213" t="s">
        <v>351</v>
      </c>
      <c r="O213" t="s">
        <v>356</v>
      </c>
      <c r="P213" t="s">
        <v>361</v>
      </c>
      <c r="Q213">
        <v>84.6</v>
      </c>
      <c r="R213">
        <v>2</v>
      </c>
      <c r="S213">
        <v>36.51</v>
      </c>
    </row>
    <row r="214" spans="1:19" x14ac:dyDescent="0.25">
      <c r="A214">
        <v>213</v>
      </c>
      <c r="B214" s="2">
        <v>44896</v>
      </c>
      <c r="C214">
        <v>2022</v>
      </c>
      <c r="D214" t="s">
        <v>29</v>
      </c>
      <c r="E214" s="2">
        <v>44901</v>
      </c>
      <c r="F214">
        <v>5</v>
      </c>
      <c r="G214" t="s">
        <v>32</v>
      </c>
      <c r="H214" t="s">
        <v>164</v>
      </c>
      <c r="I214" t="s">
        <v>325</v>
      </c>
      <c r="J214" t="s">
        <v>326</v>
      </c>
      <c r="K214" t="s">
        <v>331</v>
      </c>
      <c r="L214" t="s">
        <v>340</v>
      </c>
      <c r="M214" t="s">
        <v>347</v>
      </c>
      <c r="N214" t="s">
        <v>351</v>
      </c>
      <c r="O214" t="s">
        <v>355</v>
      </c>
      <c r="P214" t="s">
        <v>359</v>
      </c>
      <c r="Q214">
        <v>263.12</v>
      </c>
      <c r="R214">
        <v>8</v>
      </c>
      <c r="S214">
        <v>19.63</v>
      </c>
    </row>
    <row r="215" spans="1:19" x14ac:dyDescent="0.25">
      <c r="A215">
        <v>214</v>
      </c>
      <c r="B215" s="2">
        <v>43998</v>
      </c>
      <c r="C215">
        <v>2020</v>
      </c>
      <c r="D215" t="s">
        <v>21</v>
      </c>
      <c r="E215" s="2">
        <v>44005</v>
      </c>
      <c r="F215">
        <v>7</v>
      </c>
      <c r="G215" t="s">
        <v>31</v>
      </c>
      <c r="H215" t="s">
        <v>78</v>
      </c>
      <c r="I215" t="s">
        <v>325</v>
      </c>
      <c r="J215" t="s">
        <v>326</v>
      </c>
      <c r="K215" t="s">
        <v>331</v>
      </c>
      <c r="L215" t="s">
        <v>340</v>
      </c>
      <c r="M215" t="s">
        <v>347</v>
      </c>
      <c r="N215" t="s">
        <v>351</v>
      </c>
      <c r="O215" t="s">
        <v>356</v>
      </c>
      <c r="P215" t="s">
        <v>362</v>
      </c>
      <c r="Q215">
        <v>95.48</v>
      </c>
      <c r="R215">
        <v>4</v>
      </c>
      <c r="S215">
        <v>-28.42</v>
      </c>
    </row>
    <row r="216" spans="1:19" x14ac:dyDescent="0.25">
      <c r="A216">
        <v>215</v>
      </c>
      <c r="B216" s="2">
        <v>44563</v>
      </c>
      <c r="C216">
        <v>2022</v>
      </c>
      <c r="D216" t="s">
        <v>23</v>
      </c>
      <c r="E216" s="2">
        <v>44568</v>
      </c>
      <c r="F216">
        <v>5</v>
      </c>
      <c r="G216" t="s">
        <v>33</v>
      </c>
      <c r="H216" t="s">
        <v>185</v>
      </c>
      <c r="I216" t="s">
        <v>323</v>
      </c>
      <c r="J216" t="s">
        <v>326</v>
      </c>
      <c r="K216" t="s">
        <v>329</v>
      </c>
      <c r="L216" t="s">
        <v>338</v>
      </c>
      <c r="M216" t="s">
        <v>345</v>
      </c>
      <c r="N216" t="s">
        <v>352</v>
      </c>
      <c r="O216" t="s">
        <v>358</v>
      </c>
      <c r="P216" t="s">
        <v>360</v>
      </c>
      <c r="Q216">
        <v>253.93</v>
      </c>
      <c r="R216">
        <v>7</v>
      </c>
      <c r="S216">
        <v>-8.7200000000000006</v>
      </c>
    </row>
    <row r="217" spans="1:19" x14ac:dyDescent="0.25">
      <c r="A217">
        <v>216</v>
      </c>
      <c r="B217" s="2">
        <v>43845</v>
      </c>
      <c r="C217">
        <v>2020</v>
      </c>
      <c r="D217" t="s">
        <v>23</v>
      </c>
      <c r="E217" s="2">
        <v>43846</v>
      </c>
      <c r="F217">
        <v>1</v>
      </c>
      <c r="G217" t="s">
        <v>34</v>
      </c>
      <c r="H217" t="s">
        <v>186</v>
      </c>
      <c r="I217" t="s">
        <v>323</v>
      </c>
      <c r="J217" t="s">
        <v>327</v>
      </c>
      <c r="K217" t="s">
        <v>337</v>
      </c>
      <c r="L217" t="s">
        <v>344</v>
      </c>
      <c r="M217" t="s">
        <v>347</v>
      </c>
      <c r="N217" t="s">
        <v>350</v>
      </c>
      <c r="O217" t="s">
        <v>353</v>
      </c>
      <c r="P217" t="s">
        <v>360</v>
      </c>
      <c r="Q217">
        <v>145.82</v>
      </c>
      <c r="R217">
        <v>8</v>
      </c>
      <c r="S217">
        <v>-25.86</v>
      </c>
    </row>
    <row r="218" spans="1:19" x14ac:dyDescent="0.25">
      <c r="A218">
        <v>217</v>
      </c>
      <c r="B218" s="2">
        <v>45185</v>
      </c>
      <c r="C218">
        <v>2023</v>
      </c>
      <c r="D218" t="s">
        <v>25</v>
      </c>
      <c r="E218" s="2">
        <v>45190</v>
      </c>
      <c r="F218">
        <v>5</v>
      </c>
      <c r="G218" t="s">
        <v>33</v>
      </c>
      <c r="H218" t="s">
        <v>179</v>
      </c>
      <c r="I218" t="s">
        <v>323</v>
      </c>
      <c r="J218" t="s">
        <v>327</v>
      </c>
      <c r="K218" t="s">
        <v>334</v>
      </c>
      <c r="L218" t="s">
        <v>334</v>
      </c>
      <c r="M218" t="s">
        <v>349</v>
      </c>
      <c r="N218" t="s">
        <v>350</v>
      </c>
      <c r="O218" t="s">
        <v>354</v>
      </c>
      <c r="P218" t="s">
        <v>360</v>
      </c>
      <c r="Q218">
        <v>188.91</v>
      </c>
      <c r="R218">
        <v>1</v>
      </c>
      <c r="S218">
        <v>85.02</v>
      </c>
    </row>
    <row r="219" spans="1:19" x14ac:dyDescent="0.25">
      <c r="A219">
        <v>218</v>
      </c>
      <c r="B219" s="2">
        <v>45328</v>
      </c>
      <c r="C219">
        <v>2024</v>
      </c>
      <c r="D219" t="s">
        <v>28</v>
      </c>
      <c r="E219" s="2">
        <v>45336</v>
      </c>
      <c r="F219">
        <v>8</v>
      </c>
      <c r="G219" t="s">
        <v>33</v>
      </c>
      <c r="H219" t="s">
        <v>115</v>
      </c>
      <c r="I219" t="s">
        <v>324</v>
      </c>
      <c r="J219" t="s">
        <v>327</v>
      </c>
      <c r="K219" t="s">
        <v>330</v>
      </c>
      <c r="L219" t="s">
        <v>339</v>
      </c>
      <c r="M219" t="s">
        <v>346</v>
      </c>
      <c r="N219" t="s">
        <v>350</v>
      </c>
      <c r="O219" t="s">
        <v>353</v>
      </c>
      <c r="P219" t="s">
        <v>360</v>
      </c>
      <c r="Q219">
        <v>274.25</v>
      </c>
      <c r="R219">
        <v>3</v>
      </c>
      <c r="S219">
        <v>90.76</v>
      </c>
    </row>
    <row r="220" spans="1:19" x14ac:dyDescent="0.25">
      <c r="A220">
        <v>219</v>
      </c>
      <c r="B220" s="2">
        <v>45543</v>
      </c>
      <c r="C220">
        <v>2024</v>
      </c>
      <c r="D220" t="s">
        <v>25</v>
      </c>
      <c r="E220" s="2">
        <v>45550</v>
      </c>
      <c r="F220">
        <v>7</v>
      </c>
      <c r="G220" t="s">
        <v>33</v>
      </c>
      <c r="H220" t="s">
        <v>187</v>
      </c>
      <c r="I220" t="s">
        <v>323</v>
      </c>
      <c r="J220" t="s">
        <v>328</v>
      </c>
      <c r="K220" t="s">
        <v>336</v>
      </c>
      <c r="L220" t="s">
        <v>343</v>
      </c>
      <c r="M220" t="s">
        <v>347</v>
      </c>
      <c r="N220" t="s">
        <v>351</v>
      </c>
      <c r="O220" t="s">
        <v>355</v>
      </c>
      <c r="P220" t="s">
        <v>362</v>
      </c>
      <c r="Q220">
        <v>36.94</v>
      </c>
      <c r="R220">
        <v>8</v>
      </c>
      <c r="S220">
        <v>12.79</v>
      </c>
    </row>
    <row r="221" spans="1:19" x14ac:dyDescent="0.25">
      <c r="A221">
        <v>220</v>
      </c>
      <c r="B221" s="2">
        <v>44223</v>
      </c>
      <c r="C221">
        <v>2021</v>
      </c>
      <c r="D221" t="s">
        <v>23</v>
      </c>
      <c r="E221" s="2">
        <v>44224</v>
      </c>
      <c r="F221">
        <v>1</v>
      </c>
      <c r="G221" t="s">
        <v>33</v>
      </c>
      <c r="H221" t="s">
        <v>188</v>
      </c>
      <c r="I221" t="s">
        <v>324</v>
      </c>
      <c r="J221" t="s">
        <v>328</v>
      </c>
      <c r="K221" t="s">
        <v>332</v>
      </c>
      <c r="L221" t="s">
        <v>341</v>
      </c>
      <c r="M221" t="s">
        <v>348</v>
      </c>
      <c r="N221" t="s">
        <v>350</v>
      </c>
      <c r="O221" t="s">
        <v>354</v>
      </c>
      <c r="P221" t="s">
        <v>360</v>
      </c>
      <c r="Q221">
        <v>332.93</v>
      </c>
      <c r="R221">
        <v>6</v>
      </c>
      <c r="S221">
        <v>74.03</v>
      </c>
    </row>
    <row r="222" spans="1:19" x14ac:dyDescent="0.25">
      <c r="A222">
        <v>221</v>
      </c>
      <c r="B222" s="2">
        <v>44515</v>
      </c>
      <c r="C222">
        <v>2021</v>
      </c>
      <c r="D222" t="s">
        <v>30</v>
      </c>
      <c r="E222" s="2">
        <v>44516</v>
      </c>
      <c r="F222">
        <v>1</v>
      </c>
      <c r="G222" t="s">
        <v>33</v>
      </c>
      <c r="H222" t="s">
        <v>88</v>
      </c>
      <c r="I222" t="s">
        <v>323</v>
      </c>
      <c r="J222" t="s">
        <v>326</v>
      </c>
      <c r="K222" t="s">
        <v>329</v>
      </c>
      <c r="L222" t="s">
        <v>338</v>
      </c>
      <c r="M222" t="s">
        <v>345</v>
      </c>
      <c r="N222" t="s">
        <v>352</v>
      </c>
      <c r="O222" t="s">
        <v>357</v>
      </c>
      <c r="P222" t="s">
        <v>362</v>
      </c>
      <c r="Q222">
        <v>322.58999999999997</v>
      </c>
      <c r="R222">
        <v>6</v>
      </c>
      <c r="S222">
        <v>-63.9</v>
      </c>
    </row>
    <row r="223" spans="1:19" x14ac:dyDescent="0.25">
      <c r="A223">
        <v>222</v>
      </c>
      <c r="B223" s="2">
        <v>43842</v>
      </c>
      <c r="C223">
        <v>2020</v>
      </c>
      <c r="D223" t="s">
        <v>23</v>
      </c>
      <c r="E223" s="2">
        <v>43843</v>
      </c>
      <c r="F223">
        <v>1</v>
      </c>
      <c r="G223" t="s">
        <v>33</v>
      </c>
      <c r="H223" t="s">
        <v>147</v>
      </c>
      <c r="I223" t="s">
        <v>323</v>
      </c>
      <c r="J223" t="s">
        <v>328</v>
      </c>
      <c r="K223" t="s">
        <v>336</v>
      </c>
      <c r="L223" t="s">
        <v>343</v>
      </c>
      <c r="M223" t="s">
        <v>347</v>
      </c>
      <c r="N223" t="s">
        <v>351</v>
      </c>
      <c r="O223" t="s">
        <v>355</v>
      </c>
      <c r="P223" t="s">
        <v>361</v>
      </c>
      <c r="Q223">
        <v>410.22</v>
      </c>
      <c r="R223">
        <v>1</v>
      </c>
      <c r="S223">
        <v>-45.12</v>
      </c>
    </row>
    <row r="224" spans="1:19" x14ac:dyDescent="0.25">
      <c r="A224">
        <v>223</v>
      </c>
      <c r="B224" s="2">
        <v>45763</v>
      </c>
      <c r="C224">
        <v>2025</v>
      </c>
      <c r="D224" t="s">
        <v>26</v>
      </c>
      <c r="E224" s="2">
        <v>45767</v>
      </c>
      <c r="F224">
        <v>4</v>
      </c>
      <c r="G224" t="s">
        <v>31</v>
      </c>
      <c r="H224" t="s">
        <v>189</v>
      </c>
      <c r="I224" t="s">
        <v>323</v>
      </c>
      <c r="J224" t="s">
        <v>326</v>
      </c>
      <c r="K224" t="s">
        <v>329</v>
      </c>
      <c r="L224" t="s">
        <v>338</v>
      </c>
      <c r="M224" t="s">
        <v>345</v>
      </c>
      <c r="N224" t="s">
        <v>350</v>
      </c>
      <c r="O224" t="s">
        <v>353</v>
      </c>
      <c r="P224" t="s">
        <v>362</v>
      </c>
      <c r="Q224">
        <v>300.58999999999997</v>
      </c>
      <c r="R224">
        <v>8</v>
      </c>
      <c r="S224">
        <v>127.83</v>
      </c>
    </row>
    <row r="225" spans="1:19" x14ac:dyDescent="0.25">
      <c r="A225">
        <v>224</v>
      </c>
      <c r="B225" s="2">
        <v>45559</v>
      </c>
      <c r="C225">
        <v>2024</v>
      </c>
      <c r="D225" t="s">
        <v>25</v>
      </c>
      <c r="E225" s="2">
        <v>45565</v>
      </c>
      <c r="F225">
        <v>6</v>
      </c>
      <c r="G225" t="s">
        <v>33</v>
      </c>
      <c r="H225" t="s">
        <v>190</v>
      </c>
      <c r="I225" t="s">
        <v>323</v>
      </c>
      <c r="J225" t="s">
        <v>327</v>
      </c>
      <c r="K225" t="s">
        <v>337</v>
      </c>
      <c r="L225" t="s">
        <v>344</v>
      </c>
      <c r="M225" t="s">
        <v>347</v>
      </c>
      <c r="N225" t="s">
        <v>350</v>
      </c>
      <c r="O225" t="s">
        <v>354</v>
      </c>
      <c r="P225" t="s">
        <v>359</v>
      </c>
      <c r="Q225">
        <v>247.77</v>
      </c>
      <c r="R225">
        <v>8</v>
      </c>
      <c r="S225">
        <v>66.91</v>
      </c>
    </row>
    <row r="226" spans="1:19" x14ac:dyDescent="0.25">
      <c r="A226">
        <v>225</v>
      </c>
      <c r="B226" s="2">
        <v>44722</v>
      </c>
      <c r="C226">
        <v>2022</v>
      </c>
      <c r="D226" t="s">
        <v>21</v>
      </c>
      <c r="E226" s="2">
        <v>44728</v>
      </c>
      <c r="F226">
        <v>6</v>
      </c>
      <c r="G226" t="s">
        <v>33</v>
      </c>
      <c r="H226" t="s">
        <v>105</v>
      </c>
      <c r="I226" t="s">
        <v>323</v>
      </c>
      <c r="J226" t="s">
        <v>328</v>
      </c>
      <c r="K226" t="s">
        <v>332</v>
      </c>
      <c r="L226" t="s">
        <v>341</v>
      </c>
      <c r="M226" t="s">
        <v>348</v>
      </c>
      <c r="N226" t="s">
        <v>350</v>
      </c>
      <c r="O226" t="s">
        <v>353</v>
      </c>
      <c r="P226" t="s">
        <v>360</v>
      </c>
      <c r="Q226">
        <v>445.11</v>
      </c>
      <c r="R226">
        <v>10</v>
      </c>
      <c r="S226">
        <v>161.31</v>
      </c>
    </row>
    <row r="227" spans="1:19" x14ac:dyDescent="0.25">
      <c r="A227">
        <v>226</v>
      </c>
      <c r="B227" s="2">
        <v>45162</v>
      </c>
      <c r="C227">
        <v>2023</v>
      </c>
      <c r="D227" t="s">
        <v>27</v>
      </c>
      <c r="E227" s="2">
        <v>45168</v>
      </c>
      <c r="F227">
        <v>6</v>
      </c>
      <c r="G227" t="s">
        <v>31</v>
      </c>
      <c r="H227" t="s">
        <v>191</v>
      </c>
      <c r="I227" t="s">
        <v>325</v>
      </c>
      <c r="J227" t="s">
        <v>328</v>
      </c>
      <c r="K227" t="s">
        <v>332</v>
      </c>
      <c r="L227" t="s">
        <v>341</v>
      </c>
      <c r="M227" t="s">
        <v>348</v>
      </c>
      <c r="N227" t="s">
        <v>351</v>
      </c>
      <c r="O227" t="s">
        <v>356</v>
      </c>
      <c r="P227" t="s">
        <v>360</v>
      </c>
      <c r="Q227">
        <v>152.66</v>
      </c>
      <c r="R227">
        <v>6</v>
      </c>
      <c r="S227">
        <v>58.75</v>
      </c>
    </row>
    <row r="228" spans="1:19" x14ac:dyDescent="0.25">
      <c r="A228">
        <v>227</v>
      </c>
      <c r="B228" s="2">
        <v>45763</v>
      </c>
      <c r="C228">
        <v>2025</v>
      </c>
      <c r="D228" t="s">
        <v>26</v>
      </c>
      <c r="E228" s="2">
        <v>45772</v>
      </c>
      <c r="F228">
        <v>9</v>
      </c>
      <c r="G228" t="s">
        <v>33</v>
      </c>
      <c r="H228" t="s">
        <v>110</v>
      </c>
      <c r="I228" t="s">
        <v>324</v>
      </c>
      <c r="J228" t="s">
        <v>327</v>
      </c>
      <c r="K228" t="s">
        <v>330</v>
      </c>
      <c r="L228" t="s">
        <v>339</v>
      </c>
      <c r="M228" t="s">
        <v>346</v>
      </c>
      <c r="N228" t="s">
        <v>350</v>
      </c>
      <c r="O228" t="s">
        <v>353</v>
      </c>
      <c r="P228" t="s">
        <v>359</v>
      </c>
      <c r="Q228">
        <v>444.2</v>
      </c>
      <c r="R228">
        <v>7</v>
      </c>
      <c r="S228">
        <v>-77.569999999999993</v>
      </c>
    </row>
    <row r="229" spans="1:19" x14ac:dyDescent="0.25">
      <c r="A229">
        <v>228</v>
      </c>
      <c r="B229" s="2">
        <v>44000</v>
      </c>
      <c r="C229">
        <v>2020</v>
      </c>
      <c r="D229" t="s">
        <v>21</v>
      </c>
      <c r="E229" s="2">
        <v>44003</v>
      </c>
      <c r="F229">
        <v>3</v>
      </c>
      <c r="G229" t="s">
        <v>33</v>
      </c>
      <c r="H229" t="s">
        <v>192</v>
      </c>
      <c r="I229" t="s">
        <v>323</v>
      </c>
      <c r="J229" t="s">
        <v>326</v>
      </c>
      <c r="K229" t="s">
        <v>333</v>
      </c>
      <c r="L229" t="s">
        <v>342</v>
      </c>
      <c r="M229" t="s">
        <v>345</v>
      </c>
      <c r="N229" t="s">
        <v>350</v>
      </c>
      <c r="O229" t="s">
        <v>353</v>
      </c>
      <c r="P229" t="s">
        <v>360</v>
      </c>
      <c r="Q229">
        <v>44.28</v>
      </c>
      <c r="R229">
        <v>3</v>
      </c>
      <c r="S229">
        <v>-3.77</v>
      </c>
    </row>
    <row r="230" spans="1:19" x14ac:dyDescent="0.25">
      <c r="A230">
        <v>229</v>
      </c>
      <c r="B230" s="2">
        <v>45668</v>
      </c>
      <c r="C230">
        <v>2025</v>
      </c>
      <c r="D230" t="s">
        <v>23</v>
      </c>
      <c r="E230" s="2">
        <v>45672</v>
      </c>
      <c r="F230">
        <v>4</v>
      </c>
      <c r="G230" t="s">
        <v>31</v>
      </c>
      <c r="H230" t="s">
        <v>193</v>
      </c>
      <c r="I230" t="s">
        <v>324</v>
      </c>
      <c r="J230" t="s">
        <v>327</v>
      </c>
      <c r="K230" t="s">
        <v>334</v>
      </c>
      <c r="L230" t="s">
        <v>334</v>
      </c>
      <c r="M230" t="s">
        <v>349</v>
      </c>
      <c r="N230" t="s">
        <v>350</v>
      </c>
      <c r="O230" t="s">
        <v>353</v>
      </c>
      <c r="P230" t="s">
        <v>362</v>
      </c>
      <c r="Q230">
        <v>99.73</v>
      </c>
      <c r="R230">
        <v>10</v>
      </c>
      <c r="S230">
        <v>-17.39</v>
      </c>
    </row>
    <row r="231" spans="1:19" x14ac:dyDescent="0.25">
      <c r="A231">
        <v>230</v>
      </c>
      <c r="B231" s="2">
        <v>45933</v>
      </c>
      <c r="C231">
        <v>2025</v>
      </c>
      <c r="D231" t="s">
        <v>22</v>
      </c>
      <c r="E231" s="2">
        <v>45941</v>
      </c>
      <c r="F231">
        <v>8</v>
      </c>
      <c r="G231" t="s">
        <v>32</v>
      </c>
      <c r="H231" t="s">
        <v>37</v>
      </c>
      <c r="I231" t="s">
        <v>325</v>
      </c>
      <c r="J231" t="s">
        <v>326</v>
      </c>
      <c r="K231" t="s">
        <v>333</v>
      </c>
      <c r="L231" t="s">
        <v>342</v>
      </c>
      <c r="M231" t="s">
        <v>345</v>
      </c>
      <c r="N231" t="s">
        <v>351</v>
      </c>
      <c r="O231" t="s">
        <v>355</v>
      </c>
      <c r="P231" t="s">
        <v>361</v>
      </c>
      <c r="Q231">
        <v>43.46</v>
      </c>
      <c r="R231">
        <v>4</v>
      </c>
      <c r="S231">
        <v>20.77</v>
      </c>
    </row>
    <row r="232" spans="1:19" x14ac:dyDescent="0.25">
      <c r="A232">
        <v>231</v>
      </c>
      <c r="B232" s="2">
        <v>44576</v>
      </c>
      <c r="C232">
        <v>2022</v>
      </c>
      <c r="D232" t="s">
        <v>23</v>
      </c>
      <c r="E232" s="2">
        <v>44586</v>
      </c>
      <c r="F232">
        <v>10</v>
      </c>
      <c r="G232" t="s">
        <v>32</v>
      </c>
      <c r="H232" t="s">
        <v>194</v>
      </c>
      <c r="I232" t="s">
        <v>323</v>
      </c>
      <c r="J232" t="s">
        <v>328</v>
      </c>
      <c r="K232" t="s">
        <v>336</v>
      </c>
      <c r="L232" t="s">
        <v>343</v>
      </c>
      <c r="M232" t="s">
        <v>347</v>
      </c>
      <c r="N232" t="s">
        <v>350</v>
      </c>
      <c r="O232" t="s">
        <v>354</v>
      </c>
      <c r="P232" t="s">
        <v>361</v>
      </c>
      <c r="Q232">
        <v>177.14</v>
      </c>
      <c r="R232">
        <v>4</v>
      </c>
      <c r="S232">
        <v>48.25</v>
      </c>
    </row>
    <row r="233" spans="1:19" x14ac:dyDescent="0.25">
      <c r="A233">
        <v>232</v>
      </c>
      <c r="B233" s="2">
        <v>44997</v>
      </c>
      <c r="C233">
        <v>2023</v>
      </c>
      <c r="D233" t="s">
        <v>24</v>
      </c>
      <c r="E233" s="2">
        <v>45005</v>
      </c>
      <c r="F233">
        <v>8</v>
      </c>
      <c r="G233" t="s">
        <v>34</v>
      </c>
      <c r="H233" t="s">
        <v>195</v>
      </c>
      <c r="I233" t="s">
        <v>325</v>
      </c>
      <c r="J233" t="s">
        <v>327</v>
      </c>
      <c r="K233" t="s">
        <v>334</v>
      </c>
      <c r="L233" t="s">
        <v>334</v>
      </c>
      <c r="M233" t="s">
        <v>349</v>
      </c>
      <c r="N233" t="s">
        <v>350</v>
      </c>
      <c r="O233" t="s">
        <v>353</v>
      </c>
      <c r="P233" t="s">
        <v>360</v>
      </c>
      <c r="Q233">
        <v>44.54</v>
      </c>
      <c r="R233">
        <v>5</v>
      </c>
      <c r="S233">
        <v>-2.89</v>
      </c>
    </row>
    <row r="234" spans="1:19" x14ac:dyDescent="0.25">
      <c r="A234">
        <v>233</v>
      </c>
      <c r="B234" s="2">
        <v>44614</v>
      </c>
      <c r="C234">
        <v>2022</v>
      </c>
      <c r="D234" t="s">
        <v>28</v>
      </c>
      <c r="E234" s="2">
        <v>44615</v>
      </c>
      <c r="F234">
        <v>1</v>
      </c>
      <c r="G234" t="s">
        <v>33</v>
      </c>
      <c r="H234" t="s">
        <v>149</v>
      </c>
      <c r="I234" t="s">
        <v>323</v>
      </c>
      <c r="J234" t="s">
        <v>327</v>
      </c>
      <c r="K234" t="s">
        <v>334</v>
      </c>
      <c r="L234" t="s">
        <v>334</v>
      </c>
      <c r="M234" t="s">
        <v>349</v>
      </c>
      <c r="N234" t="s">
        <v>350</v>
      </c>
      <c r="O234" t="s">
        <v>354</v>
      </c>
      <c r="P234" t="s">
        <v>359</v>
      </c>
      <c r="Q234">
        <v>314.77</v>
      </c>
      <c r="R234">
        <v>1</v>
      </c>
      <c r="S234">
        <v>-52.67</v>
      </c>
    </row>
    <row r="235" spans="1:19" x14ac:dyDescent="0.25">
      <c r="A235">
        <v>234</v>
      </c>
      <c r="B235" s="2">
        <v>44691</v>
      </c>
      <c r="C235">
        <v>2022</v>
      </c>
      <c r="D235" t="s">
        <v>19</v>
      </c>
      <c r="E235" s="2">
        <v>44694</v>
      </c>
      <c r="F235">
        <v>3</v>
      </c>
      <c r="G235" t="s">
        <v>31</v>
      </c>
      <c r="H235" t="s">
        <v>156</v>
      </c>
      <c r="I235" t="s">
        <v>324</v>
      </c>
      <c r="J235" t="s">
        <v>326</v>
      </c>
      <c r="K235" t="s">
        <v>329</v>
      </c>
      <c r="L235" t="s">
        <v>338</v>
      </c>
      <c r="M235" t="s">
        <v>345</v>
      </c>
      <c r="N235" t="s">
        <v>350</v>
      </c>
      <c r="O235" t="s">
        <v>354</v>
      </c>
      <c r="P235" t="s">
        <v>359</v>
      </c>
      <c r="Q235">
        <v>397.64</v>
      </c>
      <c r="R235">
        <v>4</v>
      </c>
      <c r="S235">
        <v>143.96</v>
      </c>
    </row>
    <row r="236" spans="1:19" x14ac:dyDescent="0.25">
      <c r="A236">
        <v>235</v>
      </c>
      <c r="B236" s="2">
        <v>45816</v>
      </c>
      <c r="C236">
        <v>2025</v>
      </c>
      <c r="D236" t="s">
        <v>21</v>
      </c>
      <c r="E236" s="2">
        <v>45821</v>
      </c>
      <c r="F236">
        <v>5</v>
      </c>
      <c r="G236" t="s">
        <v>32</v>
      </c>
      <c r="H236" t="s">
        <v>98</v>
      </c>
      <c r="I236" t="s">
        <v>323</v>
      </c>
      <c r="J236" t="s">
        <v>327</v>
      </c>
      <c r="K236" t="s">
        <v>330</v>
      </c>
      <c r="L236" t="s">
        <v>339</v>
      </c>
      <c r="M236" t="s">
        <v>346</v>
      </c>
      <c r="N236" t="s">
        <v>351</v>
      </c>
      <c r="O236" t="s">
        <v>356</v>
      </c>
      <c r="P236" t="s">
        <v>362</v>
      </c>
      <c r="Q236">
        <v>153.08000000000001</v>
      </c>
      <c r="R236">
        <v>8</v>
      </c>
      <c r="S236">
        <v>68.83</v>
      </c>
    </row>
    <row r="237" spans="1:19" x14ac:dyDescent="0.25">
      <c r="A237">
        <v>236</v>
      </c>
      <c r="B237" s="2">
        <v>43993</v>
      </c>
      <c r="C237">
        <v>2020</v>
      </c>
      <c r="D237" t="s">
        <v>21</v>
      </c>
      <c r="E237" s="2">
        <v>43995</v>
      </c>
      <c r="F237">
        <v>2</v>
      </c>
      <c r="G237" t="s">
        <v>32</v>
      </c>
      <c r="H237" t="s">
        <v>196</v>
      </c>
      <c r="I237" t="s">
        <v>325</v>
      </c>
      <c r="J237" t="s">
        <v>327</v>
      </c>
      <c r="K237" t="s">
        <v>334</v>
      </c>
      <c r="L237" t="s">
        <v>334</v>
      </c>
      <c r="M237" t="s">
        <v>349</v>
      </c>
      <c r="N237" t="s">
        <v>352</v>
      </c>
      <c r="O237" t="s">
        <v>357</v>
      </c>
      <c r="P237" t="s">
        <v>359</v>
      </c>
      <c r="Q237">
        <v>202.72</v>
      </c>
      <c r="R237">
        <v>10</v>
      </c>
      <c r="S237">
        <v>98</v>
      </c>
    </row>
    <row r="238" spans="1:19" x14ac:dyDescent="0.25">
      <c r="A238">
        <v>237</v>
      </c>
      <c r="B238" s="2">
        <v>45532</v>
      </c>
      <c r="C238">
        <v>2024</v>
      </c>
      <c r="D238" t="s">
        <v>27</v>
      </c>
      <c r="E238" s="2">
        <v>45540</v>
      </c>
      <c r="F238">
        <v>8</v>
      </c>
      <c r="G238" t="s">
        <v>31</v>
      </c>
      <c r="H238" t="s">
        <v>104</v>
      </c>
      <c r="I238" t="s">
        <v>324</v>
      </c>
      <c r="J238" t="s">
        <v>326</v>
      </c>
      <c r="K238" t="s">
        <v>333</v>
      </c>
      <c r="L238" t="s">
        <v>342</v>
      </c>
      <c r="M238" t="s">
        <v>345</v>
      </c>
      <c r="N238" t="s">
        <v>351</v>
      </c>
      <c r="O238" t="s">
        <v>355</v>
      </c>
      <c r="P238" t="s">
        <v>359</v>
      </c>
      <c r="Q238">
        <v>235.92</v>
      </c>
      <c r="R238">
        <v>8</v>
      </c>
      <c r="S238">
        <v>5.27</v>
      </c>
    </row>
    <row r="239" spans="1:19" x14ac:dyDescent="0.25">
      <c r="A239">
        <v>238</v>
      </c>
      <c r="B239" s="2">
        <v>44455</v>
      </c>
      <c r="C239">
        <v>2021</v>
      </c>
      <c r="D239" t="s">
        <v>25</v>
      </c>
      <c r="E239" s="2">
        <v>44463</v>
      </c>
      <c r="F239">
        <v>8</v>
      </c>
      <c r="G239" t="s">
        <v>33</v>
      </c>
      <c r="H239" t="s">
        <v>150</v>
      </c>
      <c r="I239" t="s">
        <v>324</v>
      </c>
      <c r="J239" t="s">
        <v>326</v>
      </c>
      <c r="K239" t="s">
        <v>331</v>
      </c>
      <c r="L239" t="s">
        <v>340</v>
      </c>
      <c r="M239" t="s">
        <v>347</v>
      </c>
      <c r="N239" t="s">
        <v>351</v>
      </c>
      <c r="O239" t="s">
        <v>355</v>
      </c>
      <c r="P239" t="s">
        <v>362</v>
      </c>
      <c r="Q239">
        <v>273.72000000000003</v>
      </c>
      <c r="R239">
        <v>5</v>
      </c>
      <c r="S239">
        <v>-4.5599999999999996</v>
      </c>
    </row>
    <row r="240" spans="1:19" x14ac:dyDescent="0.25">
      <c r="A240">
        <v>239</v>
      </c>
      <c r="B240" s="2">
        <v>44346</v>
      </c>
      <c r="C240">
        <v>2021</v>
      </c>
      <c r="D240" t="s">
        <v>19</v>
      </c>
      <c r="E240" s="2">
        <v>44349</v>
      </c>
      <c r="F240">
        <v>3</v>
      </c>
      <c r="G240" t="s">
        <v>32</v>
      </c>
      <c r="H240" t="s">
        <v>156</v>
      </c>
      <c r="I240" t="s">
        <v>324</v>
      </c>
      <c r="J240" t="s">
        <v>327</v>
      </c>
      <c r="K240" t="s">
        <v>337</v>
      </c>
      <c r="L240" t="s">
        <v>344</v>
      </c>
      <c r="M240" t="s">
        <v>347</v>
      </c>
      <c r="N240" t="s">
        <v>351</v>
      </c>
      <c r="O240" t="s">
        <v>356</v>
      </c>
      <c r="P240" t="s">
        <v>362</v>
      </c>
      <c r="Q240">
        <v>473.32</v>
      </c>
      <c r="R240">
        <v>7</v>
      </c>
      <c r="S240">
        <v>160.09</v>
      </c>
    </row>
    <row r="241" spans="1:19" x14ac:dyDescent="0.25">
      <c r="A241">
        <v>240</v>
      </c>
      <c r="B241" s="2">
        <v>45844</v>
      </c>
      <c r="C241">
        <v>2025</v>
      </c>
      <c r="D241" t="s">
        <v>20</v>
      </c>
      <c r="E241" s="2">
        <v>45854</v>
      </c>
      <c r="F241">
        <v>10</v>
      </c>
      <c r="G241" t="s">
        <v>33</v>
      </c>
      <c r="H241" t="s">
        <v>134</v>
      </c>
      <c r="I241" t="s">
        <v>324</v>
      </c>
      <c r="J241" t="s">
        <v>328</v>
      </c>
      <c r="K241" t="s">
        <v>332</v>
      </c>
      <c r="L241" t="s">
        <v>341</v>
      </c>
      <c r="M241" t="s">
        <v>348</v>
      </c>
      <c r="N241" t="s">
        <v>352</v>
      </c>
      <c r="O241" t="s">
        <v>357</v>
      </c>
      <c r="P241" t="s">
        <v>359</v>
      </c>
      <c r="Q241">
        <v>44.54</v>
      </c>
      <c r="R241">
        <v>4</v>
      </c>
      <c r="S241">
        <v>-11.53</v>
      </c>
    </row>
    <row r="242" spans="1:19" x14ac:dyDescent="0.25">
      <c r="A242">
        <v>241</v>
      </c>
      <c r="B242" s="2">
        <v>44772</v>
      </c>
      <c r="C242">
        <v>2022</v>
      </c>
      <c r="D242" t="s">
        <v>20</v>
      </c>
      <c r="E242" s="2">
        <v>44773</v>
      </c>
      <c r="F242">
        <v>1</v>
      </c>
      <c r="G242" t="s">
        <v>33</v>
      </c>
      <c r="H242" t="s">
        <v>197</v>
      </c>
      <c r="I242" t="s">
        <v>325</v>
      </c>
      <c r="J242" t="s">
        <v>326</v>
      </c>
      <c r="K242" t="s">
        <v>329</v>
      </c>
      <c r="L242" t="s">
        <v>338</v>
      </c>
      <c r="M242" t="s">
        <v>345</v>
      </c>
      <c r="N242" t="s">
        <v>351</v>
      </c>
      <c r="O242" t="s">
        <v>356</v>
      </c>
      <c r="P242" t="s">
        <v>362</v>
      </c>
      <c r="Q242">
        <v>191.48</v>
      </c>
      <c r="R242">
        <v>1</v>
      </c>
      <c r="S242">
        <v>7.37</v>
      </c>
    </row>
    <row r="243" spans="1:19" x14ac:dyDescent="0.25">
      <c r="A243">
        <v>242</v>
      </c>
      <c r="B243" s="2">
        <v>43931</v>
      </c>
      <c r="C243">
        <v>2020</v>
      </c>
      <c r="D243" t="s">
        <v>26</v>
      </c>
      <c r="E243" s="2">
        <v>43934</v>
      </c>
      <c r="F243">
        <v>3</v>
      </c>
      <c r="G243" t="s">
        <v>34</v>
      </c>
      <c r="H243" t="s">
        <v>64</v>
      </c>
      <c r="I243" t="s">
        <v>324</v>
      </c>
      <c r="J243" t="s">
        <v>326</v>
      </c>
      <c r="K243" t="s">
        <v>333</v>
      </c>
      <c r="L243" t="s">
        <v>342</v>
      </c>
      <c r="M243" t="s">
        <v>345</v>
      </c>
      <c r="N243" t="s">
        <v>350</v>
      </c>
      <c r="O243" t="s">
        <v>354</v>
      </c>
      <c r="P243" t="s">
        <v>362</v>
      </c>
      <c r="Q243">
        <v>348.73</v>
      </c>
      <c r="R243">
        <v>7</v>
      </c>
      <c r="S243">
        <v>164.37</v>
      </c>
    </row>
    <row r="244" spans="1:19" x14ac:dyDescent="0.25">
      <c r="A244">
        <v>243</v>
      </c>
      <c r="B244" s="2">
        <v>44346</v>
      </c>
      <c r="C244">
        <v>2021</v>
      </c>
      <c r="D244" t="s">
        <v>19</v>
      </c>
      <c r="E244" s="2">
        <v>44347</v>
      </c>
      <c r="F244">
        <v>1</v>
      </c>
      <c r="G244" t="s">
        <v>32</v>
      </c>
      <c r="H244" t="s">
        <v>159</v>
      </c>
      <c r="I244" t="s">
        <v>323</v>
      </c>
      <c r="J244" t="s">
        <v>328</v>
      </c>
      <c r="K244" t="s">
        <v>336</v>
      </c>
      <c r="L244" t="s">
        <v>343</v>
      </c>
      <c r="M244" t="s">
        <v>347</v>
      </c>
      <c r="N244" t="s">
        <v>350</v>
      </c>
      <c r="O244" t="s">
        <v>354</v>
      </c>
      <c r="P244" t="s">
        <v>361</v>
      </c>
      <c r="Q244">
        <v>493.94</v>
      </c>
      <c r="R244">
        <v>5</v>
      </c>
      <c r="S244">
        <v>98.26</v>
      </c>
    </row>
    <row r="245" spans="1:19" x14ac:dyDescent="0.25">
      <c r="A245">
        <v>244</v>
      </c>
      <c r="B245" s="2">
        <v>44387</v>
      </c>
      <c r="C245">
        <v>2021</v>
      </c>
      <c r="D245" t="s">
        <v>20</v>
      </c>
      <c r="E245" s="2">
        <v>44393</v>
      </c>
      <c r="F245">
        <v>6</v>
      </c>
      <c r="G245" t="s">
        <v>34</v>
      </c>
      <c r="H245" t="s">
        <v>71</v>
      </c>
      <c r="I245" t="s">
        <v>324</v>
      </c>
      <c r="J245" t="s">
        <v>327</v>
      </c>
      <c r="K245" t="s">
        <v>330</v>
      </c>
      <c r="L245" t="s">
        <v>339</v>
      </c>
      <c r="M245" t="s">
        <v>346</v>
      </c>
      <c r="N245" t="s">
        <v>351</v>
      </c>
      <c r="O245" t="s">
        <v>355</v>
      </c>
      <c r="P245" t="s">
        <v>361</v>
      </c>
      <c r="Q245">
        <v>382.47</v>
      </c>
      <c r="R245">
        <v>2</v>
      </c>
      <c r="S245">
        <v>-74.03</v>
      </c>
    </row>
    <row r="246" spans="1:19" x14ac:dyDescent="0.25">
      <c r="A246">
        <v>245</v>
      </c>
      <c r="B246" s="2">
        <v>44760</v>
      </c>
      <c r="C246">
        <v>2022</v>
      </c>
      <c r="D246" t="s">
        <v>20</v>
      </c>
      <c r="E246" s="2">
        <v>44770</v>
      </c>
      <c r="F246">
        <v>10</v>
      </c>
      <c r="G246" t="s">
        <v>34</v>
      </c>
      <c r="H246" t="s">
        <v>198</v>
      </c>
      <c r="I246" t="s">
        <v>324</v>
      </c>
      <c r="J246" t="s">
        <v>326</v>
      </c>
      <c r="K246" t="s">
        <v>331</v>
      </c>
      <c r="L246" t="s">
        <v>340</v>
      </c>
      <c r="M246" t="s">
        <v>347</v>
      </c>
      <c r="N246" t="s">
        <v>351</v>
      </c>
      <c r="O246" t="s">
        <v>356</v>
      </c>
      <c r="P246" t="s">
        <v>361</v>
      </c>
      <c r="Q246">
        <v>436.38</v>
      </c>
      <c r="R246">
        <v>10</v>
      </c>
      <c r="S246">
        <v>133.65</v>
      </c>
    </row>
    <row r="247" spans="1:19" x14ac:dyDescent="0.25">
      <c r="A247">
        <v>246</v>
      </c>
      <c r="B247" s="2">
        <v>44050</v>
      </c>
      <c r="C247">
        <v>2020</v>
      </c>
      <c r="D247" t="s">
        <v>27</v>
      </c>
      <c r="E247" s="2">
        <v>44055</v>
      </c>
      <c r="F247">
        <v>5</v>
      </c>
      <c r="G247" t="s">
        <v>32</v>
      </c>
      <c r="H247" t="s">
        <v>164</v>
      </c>
      <c r="I247" t="s">
        <v>325</v>
      </c>
      <c r="J247" t="s">
        <v>326</v>
      </c>
      <c r="K247" t="s">
        <v>333</v>
      </c>
      <c r="L247" t="s">
        <v>342</v>
      </c>
      <c r="M247" t="s">
        <v>345</v>
      </c>
      <c r="N247" t="s">
        <v>351</v>
      </c>
      <c r="O247" t="s">
        <v>355</v>
      </c>
      <c r="P247" t="s">
        <v>361</v>
      </c>
      <c r="Q247">
        <v>346.84</v>
      </c>
      <c r="R247">
        <v>10</v>
      </c>
      <c r="S247">
        <v>148.88</v>
      </c>
    </row>
    <row r="248" spans="1:19" x14ac:dyDescent="0.25">
      <c r="A248">
        <v>247</v>
      </c>
      <c r="B248" s="2">
        <v>45285</v>
      </c>
      <c r="C248">
        <v>2023</v>
      </c>
      <c r="D248" t="s">
        <v>29</v>
      </c>
      <c r="E248" s="2">
        <v>45288</v>
      </c>
      <c r="F248">
        <v>3</v>
      </c>
      <c r="G248" t="s">
        <v>34</v>
      </c>
      <c r="H248" t="s">
        <v>120</v>
      </c>
      <c r="I248" t="s">
        <v>324</v>
      </c>
      <c r="J248" t="s">
        <v>326</v>
      </c>
      <c r="K248" t="s">
        <v>333</v>
      </c>
      <c r="L248" t="s">
        <v>342</v>
      </c>
      <c r="M248" t="s">
        <v>345</v>
      </c>
      <c r="N248" t="s">
        <v>350</v>
      </c>
      <c r="O248" t="s">
        <v>353</v>
      </c>
      <c r="P248" t="s">
        <v>361</v>
      </c>
      <c r="Q248">
        <v>24.2</v>
      </c>
      <c r="R248">
        <v>7</v>
      </c>
      <c r="S248">
        <v>6.74</v>
      </c>
    </row>
    <row r="249" spans="1:19" x14ac:dyDescent="0.25">
      <c r="A249">
        <v>248</v>
      </c>
      <c r="B249" s="2">
        <v>45925</v>
      </c>
      <c r="C249">
        <v>2025</v>
      </c>
      <c r="D249" t="s">
        <v>25</v>
      </c>
      <c r="E249" s="2">
        <v>45926</v>
      </c>
      <c r="F249">
        <v>1</v>
      </c>
      <c r="G249" t="s">
        <v>33</v>
      </c>
      <c r="H249" t="s">
        <v>156</v>
      </c>
      <c r="I249" t="s">
        <v>324</v>
      </c>
      <c r="J249" t="s">
        <v>328</v>
      </c>
      <c r="K249" t="s">
        <v>336</v>
      </c>
      <c r="L249" t="s">
        <v>343</v>
      </c>
      <c r="M249" t="s">
        <v>347</v>
      </c>
      <c r="N249" t="s">
        <v>352</v>
      </c>
      <c r="O249" t="s">
        <v>357</v>
      </c>
      <c r="P249" t="s">
        <v>359</v>
      </c>
      <c r="Q249">
        <v>30.65</v>
      </c>
      <c r="R249">
        <v>2</v>
      </c>
      <c r="S249">
        <v>-9.0500000000000007</v>
      </c>
    </row>
    <row r="250" spans="1:19" x14ac:dyDescent="0.25">
      <c r="A250">
        <v>249</v>
      </c>
      <c r="B250" s="2">
        <v>45471</v>
      </c>
      <c r="C250">
        <v>2024</v>
      </c>
      <c r="D250" t="s">
        <v>21</v>
      </c>
      <c r="E250" s="2">
        <v>45478</v>
      </c>
      <c r="F250">
        <v>7</v>
      </c>
      <c r="G250" t="s">
        <v>33</v>
      </c>
      <c r="H250" t="s">
        <v>199</v>
      </c>
      <c r="I250" t="s">
        <v>325</v>
      </c>
      <c r="J250" t="s">
        <v>328</v>
      </c>
      <c r="K250" t="s">
        <v>336</v>
      </c>
      <c r="L250" t="s">
        <v>343</v>
      </c>
      <c r="M250" t="s">
        <v>347</v>
      </c>
      <c r="N250" t="s">
        <v>352</v>
      </c>
      <c r="O250" t="s">
        <v>357</v>
      </c>
      <c r="P250" t="s">
        <v>361</v>
      </c>
      <c r="Q250">
        <v>119.87</v>
      </c>
      <c r="R250">
        <v>9</v>
      </c>
      <c r="S250">
        <v>15.86</v>
      </c>
    </row>
    <row r="251" spans="1:19" x14ac:dyDescent="0.25">
      <c r="A251">
        <v>250</v>
      </c>
      <c r="B251" s="2">
        <v>45760</v>
      </c>
      <c r="C251">
        <v>2025</v>
      </c>
      <c r="D251" t="s">
        <v>26</v>
      </c>
      <c r="E251" s="2">
        <v>45770</v>
      </c>
      <c r="F251">
        <v>10</v>
      </c>
      <c r="G251" t="s">
        <v>31</v>
      </c>
      <c r="H251" t="s">
        <v>113</v>
      </c>
      <c r="I251" t="s">
        <v>325</v>
      </c>
      <c r="J251" t="s">
        <v>327</v>
      </c>
      <c r="K251" t="s">
        <v>330</v>
      </c>
      <c r="L251" t="s">
        <v>339</v>
      </c>
      <c r="M251" t="s">
        <v>346</v>
      </c>
      <c r="N251" t="s">
        <v>351</v>
      </c>
      <c r="O251" t="s">
        <v>355</v>
      </c>
      <c r="P251" t="s">
        <v>359</v>
      </c>
      <c r="Q251">
        <v>282.08999999999997</v>
      </c>
      <c r="R251">
        <v>2</v>
      </c>
      <c r="S251">
        <v>39.96</v>
      </c>
    </row>
    <row r="252" spans="1:19" x14ac:dyDescent="0.25">
      <c r="A252">
        <v>251</v>
      </c>
      <c r="B252" s="2">
        <v>46004</v>
      </c>
      <c r="C252">
        <v>2025</v>
      </c>
      <c r="D252" t="s">
        <v>29</v>
      </c>
      <c r="E252" s="2">
        <v>46009</v>
      </c>
      <c r="F252">
        <v>5</v>
      </c>
      <c r="G252" t="s">
        <v>34</v>
      </c>
      <c r="H252" t="s">
        <v>200</v>
      </c>
      <c r="I252" t="s">
        <v>323</v>
      </c>
      <c r="J252" t="s">
        <v>327</v>
      </c>
      <c r="K252" t="s">
        <v>337</v>
      </c>
      <c r="L252" t="s">
        <v>344</v>
      </c>
      <c r="M252" t="s">
        <v>347</v>
      </c>
      <c r="N252" t="s">
        <v>350</v>
      </c>
      <c r="O252" t="s">
        <v>354</v>
      </c>
      <c r="P252" t="s">
        <v>362</v>
      </c>
      <c r="Q252">
        <v>260.35000000000002</v>
      </c>
      <c r="R252">
        <v>3</v>
      </c>
      <c r="S252">
        <v>127.5</v>
      </c>
    </row>
    <row r="253" spans="1:19" x14ac:dyDescent="0.25">
      <c r="A253">
        <v>252</v>
      </c>
      <c r="B253" s="2">
        <v>44547</v>
      </c>
      <c r="C253">
        <v>2021</v>
      </c>
      <c r="D253" t="s">
        <v>29</v>
      </c>
      <c r="E253" s="2">
        <v>44548</v>
      </c>
      <c r="F253">
        <v>1</v>
      </c>
      <c r="G253" t="s">
        <v>33</v>
      </c>
      <c r="H253" t="s">
        <v>201</v>
      </c>
      <c r="I253" t="s">
        <v>325</v>
      </c>
      <c r="J253" t="s">
        <v>327</v>
      </c>
      <c r="K253" t="s">
        <v>334</v>
      </c>
      <c r="L253" t="s">
        <v>334</v>
      </c>
      <c r="M253" t="s">
        <v>349</v>
      </c>
      <c r="N253" t="s">
        <v>352</v>
      </c>
      <c r="O253" t="s">
        <v>358</v>
      </c>
      <c r="P253" t="s">
        <v>360</v>
      </c>
      <c r="Q253">
        <v>476.48</v>
      </c>
      <c r="R253">
        <v>3</v>
      </c>
      <c r="S253">
        <v>175.42</v>
      </c>
    </row>
    <row r="254" spans="1:19" x14ac:dyDescent="0.25">
      <c r="A254">
        <v>253</v>
      </c>
      <c r="B254" s="2">
        <v>45266</v>
      </c>
      <c r="C254">
        <v>2023</v>
      </c>
      <c r="D254" t="s">
        <v>29</v>
      </c>
      <c r="E254" s="2">
        <v>45275</v>
      </c>
      <c r="F254">
        <v>9</v>
      </c>
      <c r="G254" t="s">
        <v>33</v>
      </c>
      <c r="H254" t="s">
        <v>202</v>
      </c>
      <c r="I254" t="s">
        <v>324</v>
      </c>
      <c r="J254" t="s">
        <v>327</v>
      </c>
      <c r="K254" t="s">
        <v>337</v>
      </c>
      <c r="L254" t="s">
        <v>344</v>
      </c>
      <c r="M254" t="s">
        <v>347</v>
      </c>
      <c r="N254" t="s">
        <v>350</v>
      </c>
      <c r="O254" t="s">
        <v>354</v>
      </c>
      <c r="P254" t="s">
        <v>359</v>
      </c>
      <c r="Q254">
        <v>347</v>
      </c>
      <c r="R254">
        <v>8</v>
      </c>
      <c r="S254">
        <v>73.22</v>
      </c>
    </row>
    <row r="255" spans="1:19" x14ac:dyDescent="0.25">
      <c r="A255">
        <v>254</v>
      </c>
      <c r="B255" s="2">
        <v>44162</v>
      </c>
      <c r="C255">
        <v>2020</v>
      </c>
      <c r="D255" t="s">
        <v>30</v>
      </c>
      <c r="E255" s="2">
        <v>44168</v>
      </c>
      <c r="F255">
        <v>6</v>
      </c>
      <c r="G255" t="s">
        <v>31</v>
      </c>
      <c r="H255" t="s">
        <v>203</v>
      </c>
      <c r="I255" t="s">
        <v>325</v>
      </c>
      <c r="J255" t="s">
        <v>327</v>
      </c>
      <c r="K255" t="s">
        <v>334</v>
      </c>
      <c r="L255" t="s">
        <v>334</v>
      </c>
      <c r="M255" t="s">
        <v>349</v>
      </c>
      <c r="N255" t="s">
        <v>350</v>
      </c>
      <c r="O255" t="s">
        <v>353</v>
      </c>
      <c r="P255" t="s">
        <v>360</v>
      </c>
      <c r="Q255">
        <v>180.27</v>
      </c>
      <c r="R255">
        <v>10</v>
      </c>
      <c r="S255">
        <v>8.66</v>
      </c>
    </row>
    <row r="256" spans="1:19" x14ac:dyDescent="0.25">
      <c r="A256">
        <v>255</v>
      </c>
      <c r="B256" s="2">
        <v>45504</v>
      </c>
      <c r="C256">
        <v>2024</v>
      </c>
      <c r="D256" t="s">
        <v>20</v>
      </c>
      <c r="E256" s="2">
        <v>45509</v>
      </c>
      <c r="F256">
        <v>5</v>
      </c>
      <c r="G256" t="s">
        <v>34</v>
      </c>
      <c r="H256" t="s">
        <v>174</v>
      </c>
      <c r="I256" t="s">
        <v>324</v>
      </c>
      <c r="J256" t="s">
        <v>328</v>
      </c>
      <c r="K256" t="s">
        <v>332</v>
      </c>
      <c r="L256" t="s">
        <v>341</v>
      </c>
      <c r="M256" t="s">
        <v>348</v>
      </c>
      <c r="N256" t="s">
        <v>352</v>
      </c>
      <c r="O256" t="s">
        <v>358</v>
      </c>
      <c r="P256" t="s">
        <v>362</v>
      </c>
      <c r="Q256">
        <v>161.96</v>
      </c>
      <c r="R256">
        <v>6</v>
      </c>
      <c r="S256">
        <v>28.88</v>
      </c>
    </row>
    <row r="257" spans="1:19" x14ac:dyDescent="0.25">
      <c r="A257">
        <v>256</v>
      </c>
      <c r="B257" s="2">
        <v>44425</v>
      </c>
      <c r="C257">
        <v>2021</v>
      </c>
      <c r="D257" t="s">
        <v>27</v>
      </c>
      <c r="E257" s="2">
        <v>44427</v>
      </c>
      <c r="F257">
        <v>2</v>
      </c>
      <c r="G257" t="s">
        <v>34</v>
      </c>
      <c r="H257" t="s">
        <v>204</v>
      </c>
      <c r="I257" t="s">
        <v>324</v>
      </c>
      <c r="J257" t="s">
        <v>327</v>
      </c>
      <c r="K257" t="s">
        <v>334</v>
      </c>
      <c r="L257" t="s">
        <v>334</v>
      </c>
      <c r="M257" t="s">
        <v>349</v>
      </c>
      <c r="N257" t="s">
        <v>352</v>
      </c>
      <c r="O257" t="s">
        <v>358</v>
      </c>
      <c r="P257" t="s">
        <v>361</v>
      </c>
      <c r="Q257">
        <v>395.25</v>
      </c>
      <c r="R257">
        <v>8</v>
      </c>
      <c r="S257">
        <v>138.07</v>
      </c>
    </row>
    <row r="258" spans="1:19" x14ac:dyDescent="0.25">
      <c r="A258">
        <v>257</v>
      </c>
      <c r="B258" s="2">
        <v>44364</v>
      </c>
      <c r="C258">
        <v>2021</v>
      </c>
      <c r="D258" t="s">
        <v>21</v>
      </c>
      <c r="E258" s="2">
        <v>44368</v>
      </c>
      <c r="F258">
        <v>4</v>
      </c>
      <c r="G258" t="s">
        <v>33</v>
      </c>
      <c r="H258" t="s">
        <v>190</v>
      </c>
      <c r="I258" t="s">
        <v>325</v>
      </c>
      <c r="J258" t="s">
        <v>327</v>
      </c>
      <c r="K258" t="s">
        <v>334</v>
      </c>
      <c r="L258" t="s">
        <v>334</v>
      </c>
      <c r="M258" t="s">
        <v>349</v>
      </c>
      <c r="N258" t="s">
        <v>352</v>
      </c>
      <c r="O258" t="s">
        <v>358</v>
      </c>
      <c r="P258" t="s">
        <v>362</v>
      </c>
      <c r="Q258">
        <v>40.25</v>
      </c>
      <c r="R258">
        <v>6</v>
      </c>
      <c r="S258">
        <v>-8.36</v>
      </c>
    </row>
    <row r="259" spans="1:19" x14ac:dyDescent="0.25">
      <c r="A259">
        <v>258</v>
      </c>
      <c r="B259" s="2">
        <v>45970</v>
      </c>
      <c r="C259">
        <v>2025</v>
      </c>
      <c r="D259" t="s">
        <v>30</v>
      </c>
      <c r="E259" s="2">
        <v>45979</v>
      </c>
      <c r="F259">
        <v>9</v>
      </c>
      <c r="G259" t="s">
        <v>33</v>
      </c>
      <c r="H259" t="s">
        <v>205</v>
      </c>
      <c r="I259" t="s">
        <v>325</v>
      </c>
      <c r="J259" t="s">
        <v>328</v>
      </c>
      <c r="K259" t="s">
        <v>332</v>
      </c>
      <c r="L259" t="s">
        <v>341</v>
      </c>
      <c r="M259" t="s">
        <v>348</v>
      </c>
      <c r="N259" t="s">
        <v>351</v>
      </c>
      <c r="O259" t="s">
        <v>355</v>
      </c>
      <c r="P259" t="s">
        <v>361</v>
      </c>
      <c r="Q259">
        <v>252.45</v>
      </c>
      <c r="R259">
        <v>7</v>
      </c>
      <c r="S259">
        <v>12.7</v>
      </c>
    </row>
    <row r="260" spans="1:19" x14ac:dyDescent="0.25">
      <c r="A260">
        <v>259</v>
      </c>
      <c r="B260" s="2">
        <v>45642</v>
      </c>
      <c r="C260">
        <v>2024</v>
      </c>
      <c r="D260" t="s">
        <v>29</v>
      </c>
      <c r="E260" s="2">
        <v>45647</v>
      </c>
      <c r="F260">
        <v>5</v>
      </c>
      <c r="G260" t="s">
        <v>31</v>
      </c>
      <c r="H260" t="s">
        <v>206</v>
      </c>
      <c r="I260" t="s">
        <v>323</v>
      </c>
      <c r="J260" t="s">
        <v>326</v>
      </c>
      <c r="K260" t="s">
        <v>333</v>
      </c>
      <c r="L260" t="s">
        <v>342</v>
      </c>
      <c r="M260" t="s">
        <v>345</v>
      </c>
      <c r="N260" t="s">
        <v>352</v>
      </c>
      <c r="O260" t="s">
        <v>358</v>
      </c>
      <c r="P260" t="s">
        <v>359</v>
      </c>
      <c r="Q260">
        <v>225.67</v>
      </c>
      <c r="R260">
        <v>5</v>
      </c>
      <c r="S260">
        <v>-37.47</v>
      </c>
    </row>
    <row r="261" spans="1:19" x14ac:dyDescent="0.25">
      <c r="A261">
        <v>260</v>
      </c>
      <c r="B261" s="2">
        <v>45354</v>
      </c>
      <c r="C261">
        <v>2024</v>
      </c>
      <c r="D261" t="s">
        <v>24</v>
      </c>
      <c r="E261" s="2">
        <v>45356</v>
      </c>
      <c r="F261">
        <v>2</v>
      </c>
      <c r="G261" t="s">
        <v>33</v>
      </c>
      <c r="H261" t="s">
        <v>163</v>
      </c>
      <c r="I261" t="s">
        <v>325</v>
      </c>
      <c r="J261" t="s">
        <v>326</v>
      </c>
      <c r="K261" t="s">
        <v>329</v>
      </c>
      <c r="L261" t="s">
        <v>338</v>
      </c>
      <c r="M261" t="s">
        <v>345</v>
      </c>
      <c r="N261" t="s">
        <v>350</v>
      </c>
      <c r="O261" t="s">
        <v>354</v>
      </c>
      <c r="P261" t="s">
        <v>362</v>
      </c>
      <c r="Q261">
        <v>175.73</v>
      </c>
      <c r="R261">
        <v>1</v>
      </c>
      <c r="S261">
        <v>-27.69</v>
      </c>
    </row>
    <row r="262" spans="1:19" x14ac:dyDescent="0.25">
      <c r="A262">
        <v>261</v>
      </c>
      <c r="B262" s="2">
        <v>44613</v>
      </c>
      <c r="C262">
        <v>2022</v>
      </c>
      <c r="D262" t="s">
        <v>28</v>
      </c>
      <c r="E262" s="2">
        <v>44623</v>
      </c>
      <c r="F262">
        <v>10</v>
      </c>
      <c r="G262" t="s">
        <v>34</v>
      </c>
      <c r="H262" t="s">
        <v>101</v>
      </c>
      <c r="I262" t="s">
        <v>324</v>
      </c>
      <c r="J262" t="s">
        <v>326</v>
      </c>
      <c r="K262" t="s">
        <v>329</v>
      </c>
      <c r="L262" t="s">
        <v>338</v>
      </c>
      <c r="M262" t="s">
        <v>345</v>
      </c>
      <c r="N262" t="s">
        <v>352</v>
      </c>
      <c r="O262" t="s">
        <v>357</v>
      </c>
      <c r="P262" t="s">
        <v>359</v>
      </c>
      <c r="Q262">
        <v>450.19</v>
      </c>
      <c r="R262">
        <v>6</v>
      </c>
      <c r="S262">
        <v>172.62</v>
      </c>
    </row>
    <row r="263" spans="1:19" x14ac:dyDescent="0.25">
      <c r="A263">
        <v>262</v>
      </c>
      <c r="B263" s="2">
        <v>44198</v>
      </c>
      <c r="C263">
        <v>2021</v>
      </c>
      <c r="D263" t="s">
        <v>23</v>
      </c>
      <c r="E263" s="2">
        <v>44199</v>
      </c>
      <c r="F263">
        <v>1</v>
      </c>
      <c r="G263" t="s">
        <v>33</v>
      </c>
      <c r="H263" t="s">
        <v>70</v>
      </c>
      <c r="I263" t="s">
        <v>323</v>
      </c>
      <c r="J263" t="s">
        <v>328</v>
      </c>
      <c r="K263" t="s">
        <v>335</v>
      </c>
      <c r="L263" t="s">
        <v>335</v>
      </c>
      <c r="M263" t="s">
        <v>345</v>
      </c>
      <c r="N263" t="s">
        <v>350</v>
      </c>
      <c r="O263" t="s">
        <v>354</v>
      </c>
      <c r="P263" t="s">
        <v>361</v>
      </c>
      <c r="Q263">
        <v>182.8</v>
      </c>
      <c r="R263">
        <v>2</v>
      </c>
      <c r="S263">
        <v>28.74</v>
      </c>
    </row>
    <row r="264" spans="1:19" x14ac:dyDescent="0.25">
      <c r="A264">
        <v>263</v>
      </c>
      <c r="B264" s="2">
        <v>45754</v>
      </c>
      <c r="C264">
        <v>2025</v>
      </c>
      <c r="D264" t="s">
        <v>26</v>
      </c>
      <c r="E264" s="2">
        <v>45763</v>
      </c>
      <c r="F264">
        <v>9</v>
      </c>
      <c r="G264" t="s">
        <v>31</v>
      </c>
      <c r="H264" t="s">
        <v>207</v>
      </c>
      <c r="I264" t="s">
        <v>324</v>
      </c>
      <c r="J264" t="s">
        <v>327</v>
      </c>
      <c r="K264" t="s">
        <v>330</v>
      </c>
      <c r="L264" t="s">
        <v>339</v>
      </c>
      <c r="M264" t="s">
        <v>346</v>
      </c>
      <c r="N264" t="s">
        <v>350</v>
      </c>
      <c r="O264" t="s">
        <v>354</v>
      </c>
      <c r="P264" t="s">
        <v>359</v>
      </c>
      <c r="Q264">
        <v>360.18</v>
      </c>
      <c r="R264">
        <v>7</v>
      </c>
      <c r="S264">
        <v>109.35</v>
      </c>
    </row>
    <row r="265" spans="1:19" x14ac:dyDescent="0.25">
      <c r="A265">
        <v>264</v>
      </c>
      <c r="B265" s="2">
        <v>45286</v>
      </c>
      <c r="C265">
        <v>2023</v>
      </c>
      <c r="D265" t="s">
        <v>29</v>
      </c>
      <c r="E265" s="2">
        <v>45288</v>
      </c>
      <c r="F265">
        <v>2</v>
      </c>
      <c r="G265" t="s">
        <v>34</v>
      </c>
      <c r="H265" t="s">
        <v>73</v>
      </c>
      <c r="I265" t="s">
        <v>323</v>
      </c>
      <c r="J265" t="s">
        <v>327</v>
      </c>
      <c r="K265" t="s">
        <v>334</v>
      </c>
      <c r="L265" t="s">
        <v>334</v>
      </c>
      <c r="M265" t="s">
        <v>349</v>
      </c>
      <c r="N265" t="s">
        <v>352</v>
      </c>
      <c r="O265" t="s">
        <v>357</v>
      </c>
      <c r="P265" t="s">
        <v>359</v>
      </c>
      <c r="Q265">
        <v>167.82</v>
      </c>
      <c r="R265">
        <v>7</v>
      </c>
      <c r="S265">
        <v>83.07</v>
      </c>
    </row>
    <row r="266" spans="1:19" x14ac:dyDescent="0.25">
      <c r="A266">
        <v>265</v>
      </c>
      <c r="B266" s="2">
        <v>44745</v>
      </c>
      <c r="C266">
        <v>2022</v>
      </c>
      <c r="D266" t="s">
        <v>20</v>
      </c>
      <c r="E266" s="2">
        <v>44751</v>
      </c>
      <c r="F266">
        <v>6</v>
      </c>
      <c r="G266" t="s">
        <v>32</v>
      </c>
      <c r="H266" t="s">
        <v>40</v>
      </c>
      <c r="I266" t="s">
        <v>324</v>
      </c>
      <c r="J266" t="s">
        <v>327</v>
      </c>
      <c r="K266" t="s">
        <v>330</v>
      </c>
      <c r="L266" t="s">
        <v>339</v>
      </c>
      <c r="M266" t="s">
        <v>346</v>
      </c>
      <c r="N266" t="s">
        <v>350</v>
      </c>
      <c r="O266" t="s">
        <v>354</v>
      </c>
      <c r="P266" t="s">
        <v>360</v>
      </c>
      <c r="Q266">
        <v>461.98</v>
      </c>
      <c r="R266">
        <v>3</v>
      </c>
      <c r="S266">
        <v>38.35</v>
      </c>
    </row>
    <row r="267" spans="1:19" x14ac:dyDescent="0.25">
      <c r="A267">
        <v>266</v>
      </c>
      <c r="B267" s="2">
        <v>44867</v>
      </c>
      <c r="C267">
        <v>2022</v>
      </c>
      <c r="D267" t="s">
        <v>30</v>
      </c>
      <c r="E267" s="2">
        <v>44868</v>
      </c>
      <c r="F267">
        <v>1</v>
      </c>
      <c r="G267" t="s">
        <v>33</v>
      </c>
      <c r="H267" t="s">
        <v>104</v>
      </c>
      <c r="I267" t="s">
        <v>324</v>
      </c>
      <c r="J267" t="s">
        <v>328</v>
      </c>
      <c r="K267" t="s">
        <v>336</v>
      </c>
      <c r="L267" t="s">
        <v>343</v>
      </c>
      <c r="M267" t="s">
        <v>347</v>
      </c>
      <c r="N267" t="s">
        <v>350</v>
      </c>
      <c r="O267" t="s">
        <v>354</v>
      </c>
      <c r="P267" t="s">
        <v>359</v>
      </c>
      <c r="Q267">
        <v>67.430000000000007</v>
      </c>
      <c r="R267">
        <v>2</v>
      </c>
      <c r="S267">
        <v>21.72</v>
      </c>
    </row>
    <row r="268" spans="1:19" x14ac:dyDescent="0.25">
      <c r="A268">
        <v>267</v>
      </c>
      <c r="B268" s="2">
        <v>45862</v>
      </c>
      <c r="C268">
        <v>2025</v>
      </c>
      <c r="D268" t="s">
        <v>20</v>
      </c>
      <c r="E268" s="2">
        <v>45866</v>
      </c>
      <c r="F268">
        <v>4</v>
      </c>
      <c r="G268" t="s">
        <v>32</v>
      </c>
      <c r="H268" t="s">
        <v>208</v>
      </c>
      <c r="I268" t="s">
        <v>324</v>
      </c>
      <c r="J268" t="s">
        <v>328</v>
      </c>
      <c r="K268" t="s">
        <v>332</v>
      </c>
      <c r="L268" t="s">
        <v>341</v>
      </c>
      <c r="M268" t="s">
        <v>348</v>
      </c>
      <c r="N268" t="s">
        <v>351</v>
      </c>
      <c r="O268" t="s">
        <v>356</v>
      </c>
      <c r="P268" t="s">
        <v>362</v>
      </c>
      <c r="Q268">
        <v>365.51</v>
      </c>
      <c r="R268">
        <v>4</v>
      </c>
      <c r="S268">
        <v>-35.56</v>
      </c>
    </row>
    <row r="269" spans="1:19" x14ac:dyDescent="0.25">
      <c r="A269">
        <v>268</v>
      </c>
      <c r="B269" s="2">
        <v>45056</v>
      </c>
      <c r="C269">
        <v>2023</v>
      </c>
      <c r="D269" t="s">
        <v>19</v>
      </c>
      <c r="E269" s="2">
        <v>45058</v>
      </c>
      <c r="F269">
        <v>2</v>
      </c>
      <c r="G269" t="s">
        <v>32</v>
      </c>
      <c r="H269" t="s">
        <v>184</v>
      </c>
      <c r="I269" t="s">
        <v>324</v>
      </c>
      <c r="J269" t="s">
        <v>328</v>
      </c>
      <c r="K269" t="s">
        <v>332</v>
      </c>
      <c r="L269" t="s">
        <v>341</v>
      </c>
      <c r="M269" t="s">
        <v>348</v>
      </c>
      <c r="N269" t="s">
        <v>351</v>
      </c>
      <c r="O269" t="s">
        <v>355</v>
      </c>
      <c r="P269" t="s">
        <v>362</v>
      </c>
      <c r="Q269">
        <v>139.86000000000001</v>
      </c>
      <c r="R269">
        <v>6</v>
      </c>
      <c r="S269">
        <v>-0.4</v>
      </c>
    </row>
    <row r="270" spans="1:19" x14ac:dyDescent="0.25">
      <c r="A270">
        <v>269</v>
      </c>
      <c r="B270" s="2">
        <v>44416</v>
      </c>
      <c r="C270">
        <v>2021</v>
      </c>
      <c r="D270" t="s">
        <v>27</v>
      </c>
      <c r="E270" s="2">
        <v>44419</v>
      </c>
      <c r="F270">
        <v>3</v>
      </c>
      <c r="G270" t="s">
        <v>32</v>
      </c>
      <c r="H270" t="s">
        <v>74</v>
      </c>
      <c r="I270" t="s">
        <v>323</v>
      </c>
      <c r="J270" t="s">
        <v>326</v>
      </c>
      <c r="K270" t="s">
        <v>333</v>
      </c>
      <c r="L270" t="s">
        <v>342</v>
      </c>
      <c r="M270" t="s">
        <v>345</v>
      </c>
      <c r="N270" t="s">
        <v>352</v>
      </c>
      <c r="O270" t="s">
        <v>358</v>
      </c>
      <c r="P270" t="s">
        <v>362</v>
      </c>
      <c r="Q270">
        <v>121.73</v>
      </c>
      <c r="R270">
        <v>1</v>
      </c>
      <c r="S270">
        <v>-19.46</v>
      </c>
    </row>
    <row r="271" spans="1:19" x14ac:dyDescent="0.25">
      <c r="A271">
        <v>270</v>
      </c>
      <c r="B271" s="2">
        <v>45022</v>
      </c>
      <c r="C271">
        <v>2023</v>
      </c>
      <c r="D271" t="s">
        <v>26</v>
      </c>
      <c r="E271" s="2">
        <v>45026</v>
      </c>
      <c r="F271">
        <v>4</v>
      </c>
      <c r="G271" t="s">
        <v>33</v>
      </c>
      <c r="H271" t="s">
        <v>53</v>
      </c>
      <c r="I271" t="s">
        <v>324</v>
      </c>
      <c r="J271" t="s">
        <v>327</v>
      </c>
      <c r="K271" t="s">
        <v>334</v>
      </c>
      <c r="L271" t="s">
        <v>334</v>
      </c>
      <c r="M271" t="s">
        <v>349</v>
      </c>
      <c r="N271" t="s">
        <v>351</v>
      </c>
      <c r="O271" t="s">
        <v>355</v>
      </c>
      <c r="P271" t="s">
        <v>359</v>
      </c>
      <c r="Q271">
        <v>333.91</v>
      </c>
      <c r="R271">
        <v>1</v>
      </c>
      <c r="S271">
        <v>87.53</v>
      </c>
    </row>
    <row r="272" spans="1:19" x14ac:dyDescent="0.25">
      <c r="A272">
        <v>271</v>
      </c>
      <c r="B272" s="2">
        <v>43887</v>
      </c>
      <c r="C272">
        <v>2020</v>
      </c>
      <c r="D272" t="s">
        <v>28</v>
      </c>
      <c r="E272" s="2">
        <v>43892</v>
      </c>
      <c r="F272">
        <v>5</v>
      </c>
      <c r="G272" t="s">
        <v>32</v>
      </c>
      <c r="H272" t="s">
        <v>120</v>
      </c>
      <c r="I272" t="s">
        <v>325</v>
      </c>
      <c r="J272" t="s">
        <v>327</v>
      </c>
      <c r="K272" t="s">
        <v>334</v>
      </c>
      <c r="L272" t="s">
        <v>334</v>
      </c>
      <c r="M272" t="s">
        <v>349</v>
      </c>
      <c r="N272" t="s">
        <v>351</v>
      </c>
      <c r="O272" t="s">
        <v>355</v>
      </c>
      <c r="P272" t="s">
        <v>361</v>
      </c>
      <c r="Q272">
        <v>330.75</v>
      </c>
      <c r="R272">
        <v>5</v>
      </c>
      <c r="S272">
        <v>126.93</v>
      </c>
    </row>
    <row r="273" spans="1:19" x14ac:dyDescent="0.25">
      <c r="A273">
        <v>272</v>
      </c>
      <c r="B273" s="2">
        <v>44456</v>
      </c>
      <c r="C273">
        <v>2021</v>
      </c>
      <c r="D273" t="s">
        <v>25</v>
      </c>
      <c r="E273" s="2">
        <v>44461</v>
      </c>
      <c r="F273">
        <v>5</v>
      </c>
      <c r="G273" t="s">
        <v>31</v>
      </c>
      <c r="H273" t="s">
        <v>157</v>
      </c>
      <c r="I273" t="s">
        <v>325</v>
      </c>
      <c r="J273" t="s">
        <v>327</v>
      </c>
      <c r="K273" t="s">
        <v>337</v>
      </c>
      <c r="L273" t="s">
        <v>344</v>
      </c>
      <c r="M273" t="s">
        <v>347</v>
      </c>
      <c r="N273" t="s">
        <v>350</v>
      </c>
      <c r="O273" t="s">
        <v>353</v>
      </c>
      <c r="P273" t="s">
        <v>360</v>
      </c>
      <c r="Q273">
        <v>78.95</v>
      </c>
      <c r="R273">
        <v>3</v>
      </c>
      <c r="S273">
        <v>-21.4</v>
      </c>
    </row>
    <row r="274" spans="1:19" x14ac:dyDescent="0.25">
      <c r="A274">
        <v>273</v>
      </c>
      <c r="B274" s="2">
        <v>44432</v>
      </c>
      <c r="C274">
        <v>2021</v>
      </c>
      <c r="D274" t="s">
        <v>27</v>
      </c>
      <c r="E274" s="2">
        <v>44442</v>
      </c>
      <c r="F274">
        <v>10</v>
      </c>
      <c r="G274" t="s">
        <v>32</v>
      </c>
      <c r="H274" t="s">
        <v>169</v>
      </c>
      <c r="I274" t="s">
        <v>323</v>
      </c>
      <c r="J274" t="s">
        <v>327</v>
      </c>
      <c r="K274" t="s">
        <v>337</v>
      </c>
      <c r="L274" t="s">
        <v>344</v>
      </c>
      <c r="M274" t="s">
        <v>347</v>
      </c>
      <c r="N274" t="s">
        <v>352</v>
      </c>
      <c r="O274" t="s">
        <v>358</v>
      </c>
      <c r="P274" t="s">
        <v>360</v>
      </c>
      <c r="Q274">
        <v>78.78</v>
      </c>
      <c r="R274">
        <v>10</v>
      </c>
      <c r="S274">
        <v>21.71</v>
      </c>
    </row>
    <row r="275" spans="1:19" x14ac:dyDescent="0.25">
      <c r="A275">
        <v>274</v>
      </c>
      <c r="B275" s="2">
        <v>44870</v>
      </c>
      <c r="C275">
        <v>2022</v>
      </c>
      <c r="D275" t="s">
        <v>30</v>
      </c>
      <c r="E275" s="2">
        <v>44873</v>
      </c>
      <c r="F275">
        <v>3</v>
      </c>
      <c r="G275" t="s">
        <v>31</v>
      </c>
      <c r="H275" t="s">
        <v>97</v>
      </c>
      <c r="I275" t="s">
        <v>323</v>
      </c>
      <c r="J275" t="s">
        <v>328</v>
      </c>
      <c r="K275" t="s">
        <v>336</v>
      </c>
      <c r="L275" t="s">
        <v>343</v>
      </c>
      <c r="M275" t="s">
        <v>347</v>
      </c>
      <c r="N275" t="s">
        <v>351</v>
      </c>
      <c r="O275" t="s">
        <v>355</v>
      </c>
      <c r="P275" t="s">
        <v>359</v>
      </c>
      <c r="Q275">
        <v>231.73</v>
      </c>
      <c r="R275">
        <v>4</v>
      </c>
      <c r="S275">
        <v>-19.18</v>
      </c>
    </row>
    <row r="276" spans="1:19" x14ac:dyDescent="0.25">
      <c r="A276">
        <v>275</v>
      </c>
      <c r="B276" s="2">
        <v>44462</v>
      </c>
      <c r="C276">
        <v>2021</v>
      </c>
      <c r="D276" t="s">
        <v>25</v>
      </c>
      <c r="E276" s="2">
        <v>44468</v>
      </c>
      <c r="F276">
        <v>6</v>
      </c>
      <c r="G276" t="s">
        <v>32</v>
      </c>
      <c r="H276" t="s">
        <v>209</v>
      </c>
      <c r="I276" t="s">
        <v>324</v>
      </c>
      <c r="J276" t="s">
        <v>326</v>
      </c>
      <c r="K276" t="s">
        <v>333</v>
      </c>
      <c r="L276" t="s">
        <v>342</v>
      </c>
      <c r="M276" t="s">
        <v>345</v>
      </c>
      <c r="N276" t="s">
        <v>352</v>
      </c>
      <c r="O276" t="s">
        <v>358</v>
      </c>
      <c r="P276" t="s">
        <v>362</v>
      </c>
      <c r="Q276">
        <v>140.72999999999999</v>
      </c>
      <c r="R276">
        <v>3</v>
      </c>
      <c r="S276">
        <v>-28.68</v>
      </c>
    </row>
    <row r="277" spans="1:19" x14ac:dyDescent="0.25">
      <c r="A277">
        <v>276</v>
      </c>
      <c r="B277" s="2">
        <v>45300</v>
      </c>
      <c r="C277">
        <v>2024</v>
      </c>
      <c r="D277" t="s">
        <v>23</v>
      </c>
      <c r="E277" s="2">
        <v>45308</v>
      </c>
      <c r="F277">
        <v>8</v>
      </c>
      <c r="G277" t="s">
        <v>34</v>
      </c>
      <c r="H277" t="s">
        <v>169</v>
      </c>
      <c r="I277" t="s">
        <v>324</v>
      </c>
      <c r="J277" t="s">
        <v>327</v>
      </c>
      <c r="K277" t="s">
        <v>337</v>
      </c>
      <c r="L277" t="s">
        <v>344</v>
      </c>
      <c r="M277" t="s">
        <v>347</v>
      </c>
      <c r="N277" t="s">
        <v>351</v>
      </c>
      <c r="O277" t="s">
        <v>355</v>
      </c>
      <c r="P277" t="s">
        <v>362</v>
      </c>
      <c r="Q277">
        <v>262.49</v>
      </c>
      <c r="R277">
        <v>7</v>
      </c>
      <c r="S277">
        <v>46.12</v>
      </c>
    </row>
    <row r="278" spans="1:19" x14ac:dyDescent="0.25">
      <c r="A278">
        <v>277</v>
      </c>
      <c r="B278" s="2">
        <v>45422</v>
      </c>
      <c r="C278">
        <v>2024</v>
      </c>
      <c r="D278" t="s">
        <v>19</v>
      </c>
      <c r="E278" s="2">
        <v>45426</v>
      </c>
      <c r="F278">
        <v>4</v>
      </c>
      <c r="G278" t="s">
        <v>32</v>
      </c>
      <c r="H278" t="s">
        <v>166</v>
      </c>
      <c r="I278" t="s">
        <v>325</v>
      </c>
      <c r="J278" t="s">
        <v>327</v>
      </c>
      <c r="K278" t="s">
        <v>334</v>
      </c>
      <c r="L278" t="s">
        <v>334</v>
      </c>
      <c r="M278" t="s">
        <v>349</v>
      </c>
      <c r="N278" t="s">
        <v>352</v>
      </c>
      <c r="O278" t="s">
        <v>357</v>
      </c>
      <c r="P278" t="s">
        <v>362</v>
      </c>
      <c r="Q278">
        <v>321.88</v>
      </c>
      <c r="R278">
        <v>5</v>
      </c>
      <c r="S278">
        <v>-45.81</v>
      </c>
    </row>
    <row r="279" spans="1:19" x14ac:dyDescent="0.25">
      <c r="A279">
        <v>278</v>
      </c>
      <c r="B279" s="2">
        <v>44904</v>
      </c>
      <c r="C279">
        <v>2022</v>
      </c>
      <c r="D279" t="s">
        <v>29</v>
      </c>
      <c r="E279" s="2">
        <v>44906</v>
      </c>
      <c r="F279">
        <v>2</v>
      </c>
      <c r="G279" t="s">
        <v>33</v>
      </c>
      <c r="H279" t="s">
        <v>95</v>
      </c>
      <c r="I279" t="s">
        <v>325</v>
      </c>
      <c r="J279" t="s">
        <v>326</v>
      </c>
      <c r="K279" t="s">
        <v>331</v>
      </c>
      <c r="L279" t="s">
        <v>340</v>
      </c>
      <c r="M279" t="s">
        <v>347</v>
      </c>
      <c r="N279" t="s">
        <v>352</v>
      </c>
      <c r="O279" t="s">
        <v>357</v>
      </c>
      <c r="P279" t="s">
        <v>362</v>
      </c>
      <c r="Q279">
        <v>485.69</v>
      </c>
      <c r="R279">
        <v>8</v>
      </c>
      <c r="S279">
        <v>-42.78</v>
      </c>
    </row>
    <row r="280" spans="1:19" x14ac:dyDescent="0.25">
      <c r="A280">
        <v>279</v>
      </c>
      <c r="B280" s="2">
        <v>43962</v>
      </c>
      <c r="C280">
        <v>2020</v>
      </c>
      <c r="D280" t="s">
        <v>19</v>
      </c>
      <c r="E280" s="2">
        <v>43969</v>
      </c>
      <c r="F280">
        <v>7</v>
      </c>
      <c r="G280" t="s">
        <v>31</v>
      </c>
      <c r="H280" t="s">
        <v>111</v>
      </c>
      <c r="I280" t="s">
        <v>325</v>
      </c>
      <c r="J280" t="s">
        <v>327</v>
      </c>
      <c r="K280" t="s">
        <v>330</v>
      </c>
      <c r="L280" t="s">
        <v>339</v>
      </c>
      <c r="M280" t="s">
        <v>346</v>
      </c>
      <c r="N280" t="s">
        <v>350</v>
      </c>
      <c r="O280" t="s">
        <v>354</v>
      </c>
      <c r="P280" t="s">
        <v>361</v>
      </c>
      <c r="Q280">
        <v>95.89</v>
      </c>
      <c r="R280">
        <v>5</v>
      </c>
      <c r="S280">
        <v>3.28</v>
      </c>
    </row>
    <row r="281" spans="1:19" x14ac:dyDescent="0.25">
      <c r="A281">
        <v>280</v>
      </c>
      <c r="B281" s="2">
        <v>45655</v>
      </c>
      <c r="C281">
        <v>2024</v>
      </c>
      <c r="D281" t="s">
        <v>29</v>
      </c>
      <c r="E281" s="2">
        <v>45663</v>
      </c>
      <c r="F281">
        <v>8</v>
      </c>
      <c r="G281" t="s">
        <v>31</v>
      </c>
      <c r="H281" t="s">
        <v>210</v>
      </c>
      <c r="I281" t="s">
        <v>325</v>
      </c>
      <c r="J281" t="s">
        <v>328</v>
      </c>
      <c r="K281" t="s">
        <v>335</v>
      </c>
      <c r="L281" t="s">
        <v>335</v>
      </c>
      <c r="M281" t="s">
        <v>345</v>
      </c>
      <c r="N281" t="s">
        <v>351</v>
      </c>
      <c r="O281" t="s">
        <v>355</v>
      </c>
      <c r="P281" t="s">
        <v>362</v>
      </c>
      <c r="Q281">
        <v>495.7</v>
      </c>
      <c r="R281">
        <v>1</v>
      </c>
      <c r="S281">
        <v>188.5</v>
      </c>
    </row>
    <row r="282" spans="1:19" x14ac:dyDescent="0.25">
      <c r="A282">
        <v>281</v>
      </c>
      <c r="B282" s="2">
        <v>45175</v>
      </c>
      <c r="C282">
        <v>2023</v>
      </c>
      <c r="D282" t="s">
        <v>25</v>
      </c>
      <c r="E282" s="2">
        <v>45184</v>
      </c>
      <c r="F282">
        <v>9</v>
      </c>
      <c r="G282" t="s">
        <v>34</v>
      </c>
      <c r="H282" t="s">
        <v>211</v>
      </c>
      <c r="I282" t="s">
        <v>324</v>
      </c>
      <c r="J282" t="s">
        <v>328</v>
      </c>
      <c r="K282" t="s">
        <v>332</v>
      </c>
      <c r="L282" t="s">
        <v>341</v>
      </c>
      <c r="M282" t="s">
        <v>348</v>
      </c>
      <c r="N282" t="s">
        <v>351</v>
      </c>
      <c r="O282" t="s">
        <v>355</v>
      </c>
      <c r="P282" t="s">
        <v>362</v>
      </c>
      <c r="Q282">
        <v>233.76</v>
      </c>
      <c r="R282">
        <v>6</v>
      </c>
      <c r="S282">
        <v>20.29</v>
      </c>
    </row>
    <row r="283" spans="1:19" x14ac:dyDescent="0.25">
      <c r="A283">
        <v>282</v>
      </c>
      <c r="B283" s="2">
        <v>45504</v>
      </c>
      <c r="C283">
        <v>2024</v>
      </c>
      <c r="D283" t="s">
        <v>20</v>
      </c>
      <c r="E283" s="2">
        <v>45513</v>
      </c>
      <c r="F283">
        <v>9</v>
      </c>
      <c r="G283" t="s">
        <v>31</v>
      </c>
      <c r="H283" t="s">
        <v>171</v>
      </c>
      <c r="I283" t="s">
        <v>324</v>
      </c>
      <c r="J283" t="s">
        <v>328</v>
      </c>
      <c r="K283" t="s">
        <v>335</v>
      </c>
      <c r="L283" t="s">
        <v>335</v>
      </c>
      <c r="M283" t="s">
        <v>345</v>
      </c>
      <c r="N283" t="s">
        <v>352</v>
      </c>
      <c r="O283" t="s">
        <v>358</v>
      </c>
      <c r="P283" t="s">
        <v>361</v>
      </c>
      <c r="Q283">
        <v>92.42</v>
      </c>
      <c r="R283">
        <v>1</v>
      </c>
      <c r="S283">
        <v>-25.19</v>
      </c>
    </row>
    <row r="284" spans="1:19" x14ac:dyDescent="0.25">
      <c r="A284">
        <v>283</v>
      </c>
      <c r="B284" s="2">
        <v>45669</v>
      </c>
      <c r="C284">
        <v>2025</v>
      </c>
      <c r="D284" t="s">
        <v>23</v>
      </c>
      <c r="E284" s="2">
        <v>45678</v>
      </c>
      <c r="F284">
        <v>9</v>
      </c>
      <c r="G284" t="s">
        <v>31</v>
      </c>
      <c r="H284" t="s">
        <v>212</v>
      </c>
      <c r="I284" t="s">
        <v>325</v>
      </c>
      <c r="J284" t="s">
        <v>326</v>
      </c>
      <c r="K284" t="s">
        <v>329</v>
      </c>
      <c r="L284" t="s">
        <v>338</v>
      </c>
      <c r="M284" t="s">
        <v>345</v>
      </c>
      <c r="N284" t="s">
        <v>352</v>
      </c>
      <c r="O284" t="s">
        <v>357</v>
      </c>
      <c r="P284" t="s">
        <v>359</v>
      </c>
      <c r="Q284">
        <v>296.08</v>
      </c>
      <c r="R284">
        <v>10</v>
      </c>
      <c r="S284">
        <v>-59.96</v>
      </c>
    </row>
    <row r="285" spans="1:19" x14ac:dyDescent="0.25">
      <c r="A285">
        <v>284</v>
      </c>
      <c r="B285" s="2">
        <v>45338</v>
      </c>
      <c r="C285">
        <v>2024</v>
      </c>
      <c r="D285" t="s">
        <v>28</v>
      </c>
      <c r="E285" s="2">
        <v>45339</v>
      </c>
      <c r="F285">
        <v>1</v>
      </c>
      <c r="G285" t="s">
        <v>33</v>
      </c>
      <c r="H285" t="s">
        <v>135</v>
      </c>
      <c r="I285" t="s">
        <v>325</v>
      </c>
      <c r="J285" t="s">
        <v>326</v>
      </c>
      <c r="K285" t="s">
        <v>329</v>
      </c>
      <c r="L285" t="s">
        <v>338</v>
      </c>
      <c r="M285" t="s">
        <v>345</v>
      </c>
      <c r="N285" t="s">
        <v>350</v>
      </c>
      <c r="O285" t="s">
        <v>353</v>
      </c>
      <c r="P285" t="s">
        <v>360</v>
      </c>
      <c r="Q285">
        <v>156</v>
      </c>
      <c r="R285">
        <v>8</v>
      </c>
      <c r="S285">
        <v>16.62</v>
      </c>
    </row>
    <row r="286" spans="1:19" x14ac:dyDescent="0.25">
      <c r="A286">
        <v>285</v>
      </c>
      <c r="B286" s="2">
        <v>44278</v>
      </c>
      <c r="C286">
        <v>2021</v>
      </c>
      <c r="D286" t="s">
        <v>24</v>
      </c>
      <c r="E286" s="2">
        <v>44282</v>
      </c>
      <c r="F286">
        <v>4</v>
      </c>
      <c r="G286" t="s">
        <v>34</v>
      </c>
      <c r="H286" t="s">
        <v>213</v>
      </c>
      <c r="I286" t="s">
        <v>325</v>
      </c>
      <c r="J286" t="s">
        <v>327</v>
      </c>
      <c r="K286" t="s">
        <v>334</v>
      </c>
      <c r="L286" t="s">
        <v>334</v>
      </c>
      <c r="M286" t="s">
        <v>349</v>
      </c>
      <c r="N286" t="s">
        <v>350</v>
      </c>
      <c r="O286" t="s">
        <v>354</v>
      </c>
      <c r="P286" t="s">
        <v>359</v>
      </c>
      <c r="Q286">
        <v>150.96</v>
      </c>
      <c r="R286">
        <v>7</v>
      </c>
      <c r="S286">
        <v>-37.700000000000003</v>
      </c>
    </row>
    <row r="287" spans="1:19" x14ac:dyDescent="0.25">
      <c r="A287">
        <v>286</v>
      </c>
      <c r="B287" s="2">
        <v>45317</v>
      </c>
      <c r="C287">
        <v>2024</v>
      </c>
      <c r="D287" t="s">
        <v>23</v>
      </c>
      <c r="E287" s="2">
        <v>45320</v>
      </c>
      <c r="F287">
        <v>3</v>
      </c>
      <c r="G287" t="s">
        <v>33</v>
      </c>
      <c r="H287" t="s">
        <v>214</v>
      </c>
      <c r="I287" t="s">
        <v>324</v>
      </c>
      <c r="J287" t="s">
        <v>327</v>
      </c>
      <c r="K287" t="s">
        <v>334</v>
      </c>
      <c r="L287" t="s">
        <v>334</v>
      </c>
      <c r="M287" t="s">
        <v>349</v>
      </c>
      <c r="N287" t="s">
        <v>352</v>
      </c>
      <c r="O287" t="s">
        <v>358</v>
      </c>
      <c r="P287" t="s">
        <v>361</v>
      </c>
      <c r="Q287">
        <v>450.65</v>
      </c>
      <c r="R287">
        <v>5</v>
      </c>
      <c r="S287">
        <v>145.12</v>
      </c>
    </row>
    <row r="288" spans="1:19" x14ac:dyDescent="0.25">
      <c r="A288">
        <v>287</v>
      </c>
      <c r="B288" s="2">
        <v>45394</v>
      </c>
      <c r="C288">
        <v>2024</v>
      </c>
      <c r="D288" t="s">
        <v>26</v>
      </c>
      <c r="E288" s="2">
        <v>45402</v>
      </c>
      <c r="F288">
        <v>8</v>
      </c>
      <c r="G288" t="s">
        <v>33</v>
      </c>
      <c r="H288" t="s">
        <v>215</v>
      </c>
      <c r="I288" t="s">
        <v>324</v>
      </c>
      <c r="J288" t="s">
        <v>328</v>
      </c>
      <c r="K288" t="s">
        <v>336</v>
      </c>
      <c r="L288" t="s">
        <v>343</v>
      </c>
      <c r="M288" t="s">
        <v>347</v>
      </c>
      <c r="N288" t="s">
        <v>351</v>
      </c>
      <c r="O288" t="s">
        <v>356</v>
      </c>
      <c r="P288" t="s">
        <v>360</v>
      </c>
      <c r="Q288">
        <v>222.96</v>
      </c>
      <c r="R288">
        <v>1</v>
      </c>
      <c r="S288">
        <v>90.66</v>
      </c>
    </row>
    <row r="289" spans="1:19" x14ac:dyDescent="0.25">
      <c r="A289">
        <v>288</v>
      </c>
      <c r="B289" s="2">
        <v>44775</v>
      </c>
      <c r="C289">
        <v>2022</v>
      </c>
      <c r="D289" t="s">
        <v>27</v>
      </c>
      <c r="E289" s="2">
        <v>44778</v>
      </c>
      <c r="F289">
        <v>3</v>
      </c>
      <c r="G289" t="s">
        <v>31</v>
      </c>
      <c r="H289" t="s">
        <v>105</v>
      </c>
      <c r="I289" t="s">
        <v>325</v>
      </c>
      <c r="J289" t="s">
        <v>326</v>
      </c>
      <c r="K289" t="s">
        <v>329</v>
      </c>
      <c r="L289" t="s">
        <v>338</v>
      </c>
      <c r="M289" t="s">
        <v>345</v>
      </c>
      <c r="N289" t="s">
        <v>350</v>
      </c>
      <c r="O289" t="s">
        <v>354</v>
      </c>
      <c r="P289" t="s">
        <v>359</v>
      </c>
      <c r="Q289">
        <v>327.74</v>
      </c>
      <c r="R289">
        <v>8</v>
      </c>
      <c r="S289">
        <v>82.68</v>
      </c>
    </row>
    <row r="290" spans="1:19" x14ac:dyDescent="0.25">
      <c r="A290">
        <v>289</v>
      </c>
      <c r="B290" s="2">
        <v>45774</v>
      </c>
      <c r="C290">
        <v>2025</v>
      </c>
      <c r="D290" t="s">
        <v>26</v>
      </c>
      <c r="E290" s="2">
        <v>45777</v>
      </c>
      <c r="F290">
        <v>3</v>
      </c>
      <c r="G290" t="s">
        <v>31</v>
      </c>
      <c r="H290" t="s">
        <v>216</v>
      </c>
      <c r="I290" t="s">
        <v>324</v>
      </c>
      <c r="J290" t="s">
        <v>328</v>
      </c>
      <c r="K290" t="s">
        <v>332</v>
      </c>
      <c r="L290" t="s">
        <v>341</v>
      </c>
      <c r="M290" t="s">
        <v>348</v>
      </c>
      <c r="N290" t="s">
        <v>351</v>
      </c>
      <c r="O290" t="s">
        <v>355</v>
      </c>
      <c r="P290" t="s">
        <v>361</v>
      </c>
      <c r="Q290">
        <v>223.68</v>
      </c>
      <c r="R290">
        <v>1</v>
      </c>
      <c r="S290">
        <v>97.84</v>
      </c>
    </row>
    <row r="291" spans="1:19" x14ac:dyDescent="0.25">
      <c r="A291">
        <v>290</v>
      </c>
      <c r="B291" s="2">
        <v>45667</v>
      </c>
      <c r="C291">
        <v>2025</v>
      </c>
      <c r="D291" t="s">
        <v>23</v>
      </c>
      <c r="E291" s="2">
        <v>45674</v>
      </c>
      <c r="F291">
        <v>7</v>
      </c>
      <c r="G291" t="s">
        <v>33</v>
      </c>
      <c r="H291" t="s">
        <v>112</v>
      </c>
      <c r="I291" t="s">
        <v>323</v>
      </c>
      <c r="J291" t="s">
        <v>328</v>
      </c>
      <c r="K291" t="s">
        <v>335</v>
      </c>
      <c r="L291" t="s">
        <v>335</v>
      </c>
      <c r="M291" t="s">
        <v>345</v>
      </c>
      <c r="N291" t="s">
        <v>351</v>
      </c>
      <c r="O291" t="s">
        <v>355</v>
      </c>
      <c r="P291" t="s">
        <v>362</v>
      </c>
      <c r="Q291">
        <v>70.33</v>
      </c>
      <c r="R291">
        <v>7</v>
      </c>
      <c r="S291">
        <v>-4.82</v>
      </c>
    </row>
    <row r="292" spans="1:19" x14ac:dyDescent="0.25">
      <c r="A292">
        <v>291</v>
      </c>
      <c r="B292" s="2">
        <v>44909</v>
      </c>
      <c r="C292">
        <v>2022</v>
      </c>
      <c r="D292" t="s">
        <v>29</v>
      </c>
      <c r="E292" s="2">
        <v>44912</v>
      </c>
      <c r="F292">
        <v>3</v>
      </c>
      <c r="G292" t="s">
        <v>32</v>
      </c>
      <c r="H292" t="s">
        <v>217</v>
      </c>
      <c r="I292" t="s">
        <v>324</v>
      </c>
      <c r="J292" t="s">
        <v>326</v>
      </c>
      <c r="K292" t="s">
        <v>329</v>
      </c>
      <c r="L292" t="s">
        <v>338</v>
      </c>
      <c r="M292" t="s">
        <v>345</v>
      </c>
      <c r="N292" t="s">
        <v>351</v>
      </c>
      <c r="O292" t="s">
        <v>356</v>
      </c>
      <c r="P292" t="s">
        <v>360</v>
      </c>
      <c r="Q292">
        <v>488.42</v>
      </c>
      <c r="R292">
        <v>8</v>
      </c>
      <c r="S292">
        <v>-76.790000000000006</v>
      </c>
    </row>
    <row r="293" spans="1:19" x14ac:dyDescent="0.25">
      <c r="A293">
        <v>292</v>
      </c>
      <c r="B293" s="2">
        <v>44893</v>
      </c>
      <c r="C293">
        <v>2022</v>
      </c>
      <c r="D293" t="s">
        <v>30</v>
      </c>
      <c r="E293" s="2">
        <v>44900</v>
      </c>
      <c r="F293">
        <v>7</v>
      </c>
      <c r="G293" t="s">
        <v>34</v>
      </c>
      <c r="H293" t="s">
        <v>218</v>
      </c>
      <c r="I293" t="s">
        <v>324</v>
      </c>
      <c r="J293" t="s">
        <v>327</v>
      </c>
      <c r="K293" t="s">
        <v>330</v>
      </c>
      <c r="L293" t="s">
        <v>339</v>
      </c>
      <c r="M293" t="s">
        <v>346</v>
      </c>
      <c r="N293" t="s">
        <v>352</v>
      </c>
      <c r="O293" t="s">
        <v>357</v>
      </c>
      <c r="P293" t="s">
        <v>362</v>
      </c>
      <c r="Q293">
        <v>77.2</v>
      </c>
      <c r="R293">
        <v>9</v>
      </c>
      <c r="S293">
        <v>-3.56</v>
      </c>
    </row>
    <row r="294" spans="1:19" x14ac:dyDescent="0.25">
      <c r="A294">
        <v>293</v>
      </c>
      <c r="B294" s="2">
        <v>44711</v>
      </c>
      <c r="C294">
        <v>2022</v>
      </c>
      <c r="D294" t="s">
        <v>19</v>
      </c>
      <c r="E294" s="2">
        <v>44712</v>
      </c>
      <c r="F294">
        <v>1</v>
      </c>
      <c r="G294" t="s">
        <v>32</v>
      </c>
      <c r="H294" t="s">
        <v>219</v>
      </c>
      <c r="I294" t="s">
        <v>325</v>
      </c>
      <c r="J294" t="s">
        <v>328</v>
      </c>
      <c r="K294" t="s">
        <v>335</v>
      </c>
      <c r="L294" t="s">
        <v>335</v>
      </c>
      <c r="M294" t="s">
        <v>345</v>
      </c>
      <c r="N294" t="s">
        <v>350</v>
      </c>
      <c r="O294" t="s">
        <v>353</v>
      </c>
      <c r="P294" t="s">
        <v>361</v>
      </c>
      <c r="Q294">
        <v>164.53</v>
      </c>
      <c r="R294">
        <v>5</v>
      </c>
      <c r="S294">
        <v>-35.47</v>
      </c>
    </row>
    <row r="295" spans="1:19" x14ac:dyDescent="0.25">
      <c r="A295">
        <v>294</v>
      </c>
      <c r="B295" s="2">
        <v>44717</v>
      </c>
      <c r="C295">
        <v>2022</v>
      </c>
      <c r="D295" t="s">
        <v>21</v>
      </c>
      <c r="E295" s="2">
        <v>44723</v>
      </c>
      <c r="F295">
        <v>6</v>
      </c>
      <c r="G295" t="s">
        <v>33</v>
      </c>
      <c r="H295" t="s">
        <v>220</v>
      </c>
      <c r="I295" t="s">
        <v>324</v>
      </c>
      <c r="J295" t="s">
        <v>328</v>
      </c>
      <c r="K295" t="s">
        <v>332</v>
      </c>
      <c r="L295" t="s">
        <v>341</v>
      </c>
      <c r="M295" t="s">
        <v>348</v>
      </c>
      <c r="N295" t="s">
        <v>350</v>
      </c>
      <c r="O295" t="s">
        <v>353</v>
      </c>
      <c r="P295" t="s">
        <v>362</v>
      </c>
      <c r="Q295">
        <v>318.41000000000003</v>
      </c>
      <c r="R295">
        <v>3</v>
      </c>
      <c r="S295">
        <v>24.48</v>
      </c>
    </row>
    <row r="296" spans="1:19" x14ac:dyDescent="0.25">
      <c r="A296">
        <v>295</v>
      </c>
      <c r="B296" s="2">
        <v>44141</v>
      </c>
      <c r="C296">
        <v>2020</v>
      </c>
      <c r="D296" t="s">
        <v>30</v>
      </c>
      <c r="E296" s="2">
        <v>44149</v>
      </c>
      <c r="F296">
        <v>8</v>
      </c>
      <c r="G296" t="s">
        <v>31</v>
      </c>
      <c r="H296" t="s">
        <v>43</v>
      </c>
      <c r="I296" t="s">
        <v>323</v>
      </c>
      <c r="J296" t="s">
        <v>326</v>
      </c>
      <c r="K296" t="s">
        <v>333</v>
      </c>
      <c r="L296" t="s">
        <v>342</v>
      </c>
      <c r="M296" t="s">
        <v>345</v>
      </c>
      <c r="N296" t="s">
        <v>352</v>
      </c>
      <c r="O296" t="s">
        <v>357</v>
      </c>
      <c r="P296" t="s">
        <v>359</v>
      </c>
      <c r="Q296">
        <v>205.59</v>
      </c>
      <c r="R296">
        <v>6</v>
      </c>
      <c r="S296">
        <v>-60.85</v>
      </c>
    </row>
    <row r="297" spans="1:19" x14ac:dyDescent="0.25">
      <c r="A297">
        <v>296</v>
      </c>
      <c r="B297" s="2">
        <v>44007</v>
      </c>
      <c r="C297">
        <v>2020</v>
      </c>
      <c r="D297" t="s">
        <v>21</v>
      </c>
      <c r="E297" s="2">
        <v>44016</v>
      </c>
      <c r="F297">
        <v>9</v>
      </c>
      <c r="G297" t="s">
        <v>32</v>
      </c>
      <c r="H297" t="s">
        <v>173</v>
      </c>
      <c r="I297" t="s">
        <v>324</v>
      </c>
      <c r="J297" t="s">
        <v>326</v>
      </c>
      <c r="K297" t="s">
        <v>329</v>
      </c>
      <c r="L297" t="s">
        <v>338</v>
      </c>
      <c r="M297" t="s">
        <v>345</v>
      </c>
      <c r="N297" t="s">
        <v>350</v>
      </c>
      <c r="O297" t="s">
        <v>353</v>
      </c>
      <c r="P297" t="s">
        <v>362</v>
      </c>
      <c r="Q297">
        <v>149.74</v>
      </c>
      <c r="R297">
        <v>4</v>
      </c>
      <c r="S297">
        <v>-9.4600000000000009</v>
      </c>
    </row>
    <row r="298" spans="1:19" x14ac:dyDescent="0.25">
      <c r="A298">
        <v>297</v>
      </c>
      <c r="B298" s="2">
        <v>44360</v>
      </c>
      <c r="C298">
        <v>2021</v>
      </c>
      <c r="D298" t="s">
        <v>21</v>
      </c>
      <c r="E298" s="2">
        <v>44363</v>
      </c>
      <c r="F298">
        <v>3</v>
      </c>
      <c r="G298" t="s">
        <v>33</v>
      </c>
      <c r="H298" t="s">
        <v>221</v>
      </c>
      <c r="I298" t="s">
        <v>325</v>
      </c>
      <c r="J298" t="s">
        <v>326</v>
      </c>
      <c r="K298" t="s">
        <v>331</v>
      </c>
      <c r="L298" t="s">
        <v>340</v>
      </c>
      <c r="M298" t="s">
        <v>347</v>
      </c>
      <c r="N298" t="s">
        <v>352</v>
      </c>
      <c r="O298" t="s">
        <v>358</v>
      </c>
      <c r="P298" t="s">
        <v>360</v>
      </c>
      <c r="Q298">
        <v>26.41</v>
      </c>
      <c r="R298">
        <v>7</v>
      </c>
      <c r="S298">
        <v>7.44</v>
      </c>
    </row>
    <row r="299" spans="1:19" x14ac:dyDescent="0.25">
      <c r="A299">
        <v>298</v>
      </c>
      <c r="B299" s="2">
        <v>45573</v>
      </c>
      <c r="C299">
        <v>2024</v>
      </c>
      <c r="D299" t="s">
        <v>22</v>
      </c>
      <c r="E299" s="2">
        <v>45574</v>
      </c>
      <c r="F299">
        <v>1</v>
      </c>
      <c r="G299" t="s">
        <v>32</v>
      </c>
      <c r="H299" t="s">
        <v>222</v>
      </c>
      <c r="I299" t="s">
        <v>325</v>
      </c>
      <c r="J299" t="s">
        <v>326</v>
      </c>
      <c r="K299" t="s">
        <v>331</v>
      </c>
      <c r="L299" t="s">
        <v>340</v>
      </c>
      <c r="M299" t="s">
        <v>347</v>
      </c>
      <c r="N299" t="s">
        <v>350</v>
      </c>
      <c r="O299" t="s">
        <v>353</v>
      </c>
      <c r="P299" t="s">
        <v>360</v>
      </c>
      <c r="Q299">
        <v>480.36</v>
      </c>
      <c r="R299">
        <v>9</v>
      </c>
      <c r="S299">
        <v>175.87</v>
      </c>
    </row>
    <row r="300" spans="1:19" x14ac:dyDescent="0.25">
      <c r="A300">
        <v>299</v>
      </c>
      <c r="B300" s="2">
        <v>44931</v>
      </c>
      <c r="C300">
        <v>2023</v>
      </c>
      <c r="D300" t="s">
        <v>23</v>
      </c>
      <c r="E300" s="2">
        <v>44932</v>
      </c>
      <c r="F300">
        <v>1</v>
      </c>
      <c r="G300" t="s">
        <v>33</v>
      </c>
      <c r="H300" t="s">
        <v>36</v>
      </c>
      <c r="I300" t="s">
        <v>323</v>
      </c>
      <c r="J300" t="s">
        <v>328</v>
      </c>
      <c r="K300" t="s">
        <v>332</v>
      </c>
      <c r="L300" t="s">
        <v>341</v>
      </c>
      <c r="M300" t="s">
        <v>348</v>
      </c>
      <c r="N300" t="s">
        <v>350</v>
      </c>
      <c r="O300" t="s">
        <v>354</v>
      </c>
      <c r="P300" t="s">
        <v>362</v>
      </c>
      <c r="Q300">
        <v>83.91</v>
      </c>
      <c r="R300">
        <v>10</v>
      </c>
      <c r="S300">
        <v>27.91</v>
      </c>
    </row>
    <row r="301" spans="1:19" x14ac:dyDescent="0.25">
      <c r="A301">
        <v>300</v>
      </c>
      <c r="B301" s="2">
        <v>44176</v>
      </c>
      <c r="C301">
        <v>2020</v>
      </c>
      <c r="D301" t="s">
        <v>29</v>
      </c>
      <c r="E301" s="2">
        <v>44178</v>
      </c>
      <c r="F301">
        <v>2</v>
      </c>
      <c r="G301" t="s">
        <v>32</v>
      </c>
      <c r="H301" t="s">
        <v>48</v>
      </c>
      <c r="I301" t="s">
        <v>325</v>
      </c>
      <c r="J301" t="s">
        <v>328</v>
      </c>
      <c r="K301" t="s">
        <v>336</v>
      </c>
      <c r="L301" t="s">
        <v>343</v>
      </c>
      <c r="M301" t="s">
        <v>347</v>
      </c>
      <c r="N301" t="s">
        <v>350</v>
      </c>
      <c r="O301" t="s">
        <v>354</v>
      </c>
      <c r="P301" t="s">
        <v>362</v>
      </c>
      <c r="Q301">
        <v>487.6</v>
      </c>
      <c r="R301">
        <v>8</v>
      </c>
      <c r="S301">
        <v>-15.34</v>
      </c>
    </row>
    <row r="302" spans="1:19" x14ac:dyDescent="0.25">
      <c r="A302">
        <v>301</v>
      </c>
      <c r="B302" s="2">
        <v>45260</v>
      </c>
      <c r="C302">
        <v>2023</v>
      </c>
      <c r="D302" t="s">
        <v>30</v>
      </c>
      <c r="E302" s="2">
        <v>45262</v>
      </c>
      <c r="F302">
        <v>2</v>
      </c>
      <c r="G302" t="s">
        <v>31</v>
      </c>
      <c r="H302" t="s">
        <v>223</v>
      </c>
      <c r="I302" t="s">
        <v>323</v>
      </c>
      <c r="J302" t="s">
        <v>326</v>
      </c>
      <c r="K302" t="s">
        <v>333</v>
      </c>
      <c r="L302" t="s">
        <v>342</v>
      </c>
      <c r="M302" t="s">
        <v>345</v>
      </c>
      <c r="N302" t="s">
        <v>350</v>
      </c>
      <c r="O302" t="s">
        <v>354</v>
      </c>
      <c r="P302" t="s">
        <v>361</v>
      </c>
      <c r="Q302">
        <v>338.74</v>
      </c>
      <c r="R302">
        <v>1</v>
      </c>
      <c r="S302">
        <v>-46.99</v>
      </c>
    </row>
    <row r="303" spans="1:19" x14ac:dyDescent="0.25">
      <c r="A303">
        <v>302</v>
      </c>
      <c r="B303" s="2">
        <v>45940</v>
      </c>
      <c r="C303">
        <v>2025</v>
      </c>
      <c r="D303" t="s">
        <v>22</v>
      </c>
      <c r="E303" s="2">
        <v>45941</v>
      </c>
      <c r="F303">
        <v>1</v>
      </c>
      <c r="G303" t="s">
        <v>32</v>
      </c>
      <c r="H303" t="s">
        <v>201</v>
      </c>
      <c r="I303" t="s">
        <v>323</v>
      </c>
      <c r="J303" t="s">
        <v>327</v>
      </c>
      <c r="K303" t="s">
        <v>330</v>
      </c>
      <c r="L303" t="s">
        <v>339</v>
      </c>
      <c r="M303" t="s">
        <v>346</v>
      </c>
      <c r="N303" t="s">
        <v>351</v>
      </c>
      <c r="O303" t="s">
        <v>356</v>
      </c>
      <c r="P303" t="s">
        <v>359</v>
      </c>
      <c r="Q303">
        <v>433.05</v>
      </c>
      <c r="R303">
        <v>1</v>
      </c>
      <c r="S303">
        <v>106.44</v>
      </c>
    </row>
    <row r="304" spans="1:19" x14ac:dyDescent="0.25">
      <c r="A304">
        <v>303</v>
      </c>
      <c r="B304" s="2">
        <v>44281</v>
      </c>
      <c r="C304">
        <v>2021</v>
      </c>
      <c r="D304" t="s">
        <v>24</v>
      </c>
      <c r="E304" s="2">
        <v>44283</v>
      </c>
      <c r="F304">
        <v>2</v>
      </c>
      <c r="G304" t="s">
        <v>32</v>
      </c>
      <c r="H304" t="s">
        <v>59</v>
      </c>
      <c r="I304" t="s">
        <v>325</v>
      </c>
      <c r="J304" t="s">
        <v>327</v>
      </c>
      <c r="K304" t="s">
        <v>334</v>
      </c>
      <c r="L304" t="s">
        <v>334</v>
      </c>
      <c r="M304" t="s">
        <v>349</v>
      </c>
      <c r="N304" t="s">
        <v>350</v>
      </c>
      <c r="O304" t="s">
        <v>353</v>
      </c>
      <c r="P304" t="s">
        <v>359</v>
      </c>
      <c r="Q304">
        <v>290.72000000000003</v>
      </c>
      <c r="R304">
        <v>6</v>
      </c>
      <c r="S304">
        <v>56.88</v>
      </c>
    </row>
    <row r="305" spans="1:19" x14ac:dyDescent="0.25">
      <c r="A305">
        <v>304</v>
      </c>
      <c r="B305" s="2">
        <v>44708</v>
      </c>
      <c r="C305">
        <v>2022</v>
      </c>
      <c r="D305" t="s">
        <v>19</v>
      </c>
      <c r="E305" s="2">
        <v>44714</v>
      </c>
      <c r="F305">
        <v>6</v>
      </c>
      <c r="G305" t="s">
        <v>32</v>
      </c>
      <c r="H305" t="s">
        <v>224</v>
      </c>
      <c r="I305" t="s">
        <v>323</v>
      </c>
      <c r="J305" t="s">
        <v>326</v>
      </c>
      <c r="K305" t="s">
        <v>331</v>
      </c>
      <c r="L305" t="s">
        <v>340</v>
      </c>
      <c r="M305" t="s">
        <v>347</v>
      </c>
      <c r="N305" t="s">
        <v>351</v>
      </c>
      <c r="O305" t="s">
        <v>355</v>
      </c>
      <c r="P305" t="s">
        <v>359</v>
      </c>
      <c r="Q305">
        <v>292.8</v>
      </c>
      <c r="R305">
        <v>9</v>
      </c>
      <c r="S305">
        <v>-25.01</v>
      </c>
    </row>
    <row r="306" spans="1:19" x14ac:dyDescent="0.25">
      <c r="A306">
        <v>305</v>
      </c>
      <c r="B306" s="2">
        <v>44850</v>
      </c>
      <c r="C306">
        <v>2022</v>
      </c>
      <c r="D306" t="s">
        <v>22</v>
      </c>
      <c r="E306" s="2">
        <v>44853</v>
      </c>
      <c r="F306">
        <v>3</v>
      </c>
      <c r="G306" t="s">
        <v>33</v>
      </c>
      <c r="H306" t="s">
        <v>225</v>
      </c>
      <c r="I306" t="s">
        <v>323</v>
      </c>
      <c r="J306" t="s">
        <v>326</v>
      </c>
      <c r="K306" t="s">
        <v>329</v>
      </c>
      <c r="L306" t="s">
        <v>338</v>
      </c>
      <c r="M306" t="s">
        <v>345</v>
      </c>
      <c r="N306" t="s">
        <v>352</v>
      </c>
      <c r="O306" t="s">
        <v>358</v>
      </c>
      <c r="P306" t="s">
        <v>360</v>
      </c>
      <c r="Q306">
        <v>108.98</v>
      </c>
      <c r="R306">
        <v>5</v>
      </c>
      <c r="S306">
        <v>8.59</v>
      </c>
    </row>
    <row r="307" spans="1:19" x14ac:dyDescent="0.25">
      <c r="A307">
        <v>306</v>
      </c>
      <c r="B307" s="2">
        <v>44254</v>
      </c>
      <c r="C307">
        <v>2021</v>
      </c>
      <c r="D307" t="s">
        <v>28</v>
      </c>
      <c r="E307" s="2">
        <v>44257</v>
      </c>
      <c r="F307">
        <v>3</v>
      </c>
      <c r="G307" t="s">
        <v>33</v>
      </c>
      <c r="H307" t="s">
        <v>208</v>
      </c>
      <c r="I307" t="s">
        <v>325</v>
      </c>
      <c r="J307" t="s">
        <v>328</v>
      </c>
      <c r="K307" t="s">
        <v>332</v>
      </c>
      <c r="L307" t="s">
        <v>341</v>
      </c>
      <c r="M307" t="s">
        <v>348</v>
      </c>
      <c r="N307" t="s">
        <v>352</v>
      </c>
      <c r="O307" t="s">
        <v>357</v>
      </c>
      <c r="P307" t="s">
        <v>359</v>
      </c>
      <c r="Q307">
        <v>225.79</v>
      </c>
      <c r="R307">
        <v>8</v>
      </c>
      <c r="S307">
        <v>-0.98</v>
      </c>
    </row>
    <row r="308" spans="1:19" x14ac:dyDescent="0.25">
      <c r="A308">
        <v>307</v>
      </c>
      <c r="B308" s="2">
        <v>45553</v>
      </c>
      <c r="C308">
        <v>2024</v>
      </c>
      <c r="D308" t="s">
        <v>25</v>
      </c>
      <c r="E308" s="2">
        <v>45555</v>
      </c>
      <c r="F308">
        <v>2</v>
      </c>
      <c r="G308" t="s">
        <v>32</v>
      </c>
      <c r="H308" t="s">
        <v>86</v>
      </c>
      <c r="I308" t="s">
        <v>323</v>
      </c>
      <c r="J308" t="s">
        <v>328</v>
      </c>
      <c r="K308" t="s">
        <v>332</v>
      </c>
      <c r="L308" t="s">
        <v>341</v>
      </c>
      <c r="M308" t="s">
        <v>348</v>
      </c>
      <c r="N308" t="s">
        <v>350</v>
      </c>
      <c r="O308" t="s">
        <v>353</v>
      </c>
      <c r="P308" t="s">
        <v>360</v>
      </c>
      <c r="Q308">
        <v>123.72</v>
      </c>
      <c r="R308">
        <v>6</v>
      </c>
      <c r="S308">
        <v>20.16</v>
      </c>
    </row>
    <row r="309" spans="1:19" x14ac:dyDescent="0.25">
      <c r="A309">
        <v>308</v>
      </c>
      <c r="B309" s="2">
        <v>45139</v>
      </c>
      <c r="C309">
        <v>2023</v>
      </c>
      <c r="D309" t="s">
        <v>27</v>
      </c>
      <c r="E309" s="2">
        <v>45149</v>
      </c>
      <c r="F309">
        <v>10</v>
      </c>
      <c r="G309" t="s">
        <v>34</v>
      </c>
      <c r="H309" t="s">
        <v>226</v>
      </c>
      <c r="I309" t="s">
        <v>324</v>
      </c>
      <c r="J309" t="s">
        <v>327</v>
      </c>
      <c r="K309" t="s">
        <v>330</v>
      </c>
      <c r="L309" t="s">
        <v>339</v>
      </c>
      <c r="M309" t="s">
        <v>346</v>
      </c>
      <c r="N309" t="s">
        <v>351</v>
      </c>
      <c r="O309" t="s">
        <v>356</v>
      </c>
      <c r="P309" t="s">
        <v>362</v>
      </c>
      <c r="Q309">
        <v>324.14999999999998</v>
      </c>
      <c r="R309">
        <v>10</v>
      </c>
      <c r="S309">
        <v>82.72</v>
      </c>
    </row>
    <row r="310" spans="1:19" x14ac:dyDescent="0.25">
      <c r="A310">
        <v>309</v>
      </c>
      <c r="B310" s="2">
        <v>45666</v>
      </c>
      <c r="C310">
        <v>2025</v>
      </c>
      <c r="D310" t="s">
        <v>23</v>
      </c>
      <c r="E310" s="2">
        <v>45671</v>
      </c>
      <c r="F310">
        <v>5</v>
      </c>
      <c r="G310" t="s">
        <v>32</v>
      </c>
      <c r="H310" t="s">
        <v>227</v>
      </c>
      <c r="I310" t="s">
        <v>323</v>
      </c>
      <c r="J310" t="s">
        <v>326</v>
      </c>
      <c r="K310" t="s">
        <v>331</v>
      </c>
      <c r="L310" t="s">
        <v>340</v>
      </c>
      <c r="M310" t="s">
        <v>347</v>
      </c>
      <c r="N310" t="s">
        <v>351</v>
      </c>
      <c r="O310" t="s">
        <v>356</v>
      </c>
      <c r="P310" t="s">
        <v>361</v>
      </c>
      <c r="Q310">
        <v>257.13</v>
      </c>
      <c r="R310">
        <v>10</v>
      </c>
      <c r="S310">
        <v>-73.010000000000005</v>
      </c>
    </row>
    <row r="311" spans="1:19" x14ac:dyDescent="0.25">
      <c r="A311">
        <v>310</v>
      </c>
      <c r="B311" s="2">
        <v>45553</v>
      </c>
      <c r="C311">
        <v>2024</v>
      </c>
      <c r="D311" t="s">
        <v>25</v>
      </c>
      <c r="E311" s="2">
        <v>45560</v>
      </c>
      <c r="F311">
        <v>7</v>
      </c>
      <c r="G311" t="s">
        <v>34</v>
      </c>
      <c r="H311" t="s">
        <v>49</v>
      </c>
      <c r="I311" t="s">
        <v>325</v>
      </c>
      <c r="J311" t="s">
        <v>328</v>
      </c>
      <c r="K311" t="s">
        <v>335</v>
      </c>
      <c r="L311" t="s">
        <v>335</v>
      </c>
      <c r="M311" t="s">
        <v>345</v>
      </c>
      <c r="N311" t="s">
        <v>351</v>
      </c>
      <c r="O311" t="s">
        <v>355</v>
      </c>
      <c r="P311" t="s">
        <v>361</v>
      </c>
      <c r="Q311">
        <v>262.24</v>
      </c>
      <c r="R311">
        <v>9</v>
      </c>
      <c r="S311">
        <v>-19.34</v>
      </c>
    </row>
    <row r="312" spans="1:19" x14ac:dyDescent="0.25">
      <c r="A312">
        <v>311</v>
      </c>
      <c r="B312" s="2">
        <v>44559</v>
      </c>
      <c r="C312">
        <v>2021</v>
      </c>
      <c r="D312" t="s">
        <v>29</v>
      </c>
      <c r="E312" s="2">
        <v>44560</v>
      </c>
      <c r="F312">
        <v>1</v>
      </c>
      <c r="G312" t="s">
        <v>34</v>
      </c>
      <c r="H312" t="s">
        <v>90</v>
      </c>
      <c r="I312" t="s">
        <v>323</v>
      </c>
      <c r="J312" t="s">
        <v>328</v>
      </c>
      <c r="K312" t="s">
        <v>332</v>
      </c>
      <c r="L312" t="s">
        <v>341</v>
      </c>
      <c r="M312" t="s">
        <v>348</v>
      </c>
      <c r="N312" t="s">
        <v>350</v>
      </c>
      <c r="O312" t="s">
        <v>353</v>
      </c>
      <c r="P312" t="s">
        <v>362</v>
      </c>
      <c r="Q312">
        <v>168.7</v>
      </c>
      <c r="R312">
        <v>2</v>
      </c>
      <c r="S312">
        <v>-17.23</v>
      </c>
    </row>
    <row r="313" spans="1:19" x14ac:dyDescent="0.25">
      <c r="A313">
        <v>312</v>
      </c>
      <c r="B313" s="2">
        <v>44443</v>
      </c>
      <c r="C313">
        <v>2021</v>
      </c>
      <c r="D313" t="s">
        <v>25</v>
      </c>
      <c r="E313" s="2">
        <v>44444</v>
      </c>
      <c r="F313">
        <v>1</v>
      </c>
      <c r="G313" t="s">
        <v>33</v>
      </c>
      <c r="H313" t="s">
        <v>53</v>
      </c>
      <c r="I313" t="s">
        <v>324</v>
      </c>
      <c r="J313" t="s">
        <v>328</v>
      </c>
      <c r="K313" t="s">
        <v>336</v>
      </c>
      <c r="L313" t="s">
        <v>343</v>
      </c>
      <c r="M313" t="s">
        <v>347</v>
      </c>
      <c r="N313" t="s">
        <v>351</v>
      </c>
      <c r="O313" t="s">
        <v>356</v>
      </c>
      <c r="P313" t="s">
        <v>361</v>
      </c>
      <c r="Q313">
        <v>26.19</v>
      </c>
      <c r="R313">
        <v>6</v>
      </c>
      <c r="S313">
        <v>5.93</v>
      </c>
    </row>
    <row r="314" spans="1:19" x14ac:dyDescent="0.25">
      <c r="A314">
        <v>313</v>
      </c>
      <c r="B314" s="2">
        <v>44553</v>
      </c>
      <c r="C314">
        <v>2021</v>
      </c>
      <c r="D314" t="s">
        <v>29</v>
      </c>
      <c r="E314" s="2">
        <v>44560</v>
      </c>
      <c r="F314">
        <v>7</v>
      </c>
      <c r="G314" t="s">
        <v>31</v>
      </c>
      <c r="H314" t="s">
        <v>181</v>
      </c>
      <c r="I314" t="s">
        <v>323</v>
      </c>
      <c r="J314" t="s">
        <v>328</v>
      </c>
      <c r="K314" t="s">
        <v>332</v>
      </c>
      <c r="L314" t="s">
        <v>341</v>
      </c>
      <c r="M314" t="s">
        <v>348</v>
      </c>
      <c r="N314" t="s">
        <v>352</v>
      </c>
      <c r="O314" t="s">
        <v>358</v>
      </c>
      <c r="P314" t="s">
        <v>359</v>
      </c>
      <c r="Q314">
        <v>41.7</v>
      </c>
      <c r="R314">
        <v>1</v>
      </c>
      <c r="S314">
        <v>-3.81</v>
      </c>
    </row>
    <row r="315" spans="1:19" x14ac:dyDescent="0.25">
      <c r="A315">
        <v>314</v>
      </c>
      <c r="B315" s="2">
        <v>45186</v>
      </c>
      <c r="C315">
        <v>2023</v>
      </c>
      <c r="D315" t="s">
        <v>25</v>
      </c>
      <c r="E315" s="2">
        <v>45190</v>
      </c>
      <c r="F315">
        <v>4</v>
      </c>
      <c r="G315" t="s">
        <v>34</v>
      </c>
      <c r="H315" t="s">
        <v>61</v>
      </c>
      <c r="I315" t="s">
        <v>325</v>
      </c>
      <c r="J315" t="s">
        <v>326</v>
      </c>
      <c r="K315" t="s">
        <v>329</v>
      </c>
      <c r="L315" t="s">
        <v>338</v>
      </c>
      <c r="M315" t="s">
        <v>345</v>
      </c>
      <c r="N315" t="s">
        <v>351</v>
      </c>
      <c r="O315" t="s">
        <v>356</v>
      </c>
      <c r="P315" t="s">
        <v>362</v>
      </c>
      <c r="Q315">
        <v>173.55</v>
      </c>
      <c r="R315">
        <v>9</v>
      </c>
      <c r="S315">
        <v>-40.11</v>
      </c>
    </row>
    <row r="316" spans="1:19" x14ac:dyDescent="0.25">
      <c r="A316">
        <v>315</v>
      </c>
      <c r="B316" s="2">
        <v>44273</v>
      </c>
      <c r="C316">
        <v>2021</v>
      </c>
      <c r="D316" t="s">
        <v>24</v>
      </c>
      <c r="E316" s="2">
        <v>44274</v>
      </c>
      <c r="F316">
        <v>1</v>
      </c>
      <c r="G316" t="s">
        <v>33</v>
      </c>
      <c r="H316" t="s">
        <v>228</v>
      </c>
      <c r="I316" t="s">
        <v>325</v>
      </c>
      <c r="J316" t="s">
        <v>328</v>
      </c>
      <c r="K316" t="s">
        <v>332</v>
      </c>
      <c r="L316" t="s">
        <v>341</v>
      </c>
      <c r="M316" t="s">
        <v>348</v>
      </c>
      <c r="N316" t="s">
        <v>351</v>
      </c>
      <c r="O316" t="s">
        <v>356</v>
      </c>
      <c r="P316" t="s">
        <v>360</v>
      </c>
      <c r="Q316">
        <v>270.52999999999997</v>
      </c>
      <c r="R316">
        <v>6</v>
      </c>
      <c r="S316">
        <v>-35.08</v>
      </c>
    </row>
    <row r="317" spans="1:19" x14ac:dyDescent="0.25">
      <c r="A317">
        <v>316</v>
      </c>
      <c r="B317" s="2">
        <v>44551</v>
      </c>
      <c r="C317">
        <v>2021</v>
      </c>
      <c r="D317" t="s">
        <v>29</v>
      </c>
      <c r="E317" s="2">
        <v>44561</v>
      </c>
      <c r="F317">
        <v>10</v>
      </c>
      <c r="G317" t="s">
        <v>31</v>
      </c>
      <c r="H317" t="s">
        <v>229</v>
      </c>
      <c r="I317" t="s">
        <v>323</v>
      </c>
      <c r="J317" t="s">
        <v>328</v>
      </c>
      <c r="K317" t="s">
        <v>332</v>
      </c>
      <c r="L317" t="s">
        <v>341</v>
      </c>
      <c r="M317" t="s">
        <v>348</v>
      </c>
      <c r="N317" t="s">
        <v>352</v>
      </c>
      <c r="O317" t="s">
        <v>357</v>
      </c>
      <c r="P317" t="s">
        <v>361</v>
      </c>
      <c r="Q317">
        <v>47.99</v>
      </c>
      <c r="R317">
        <v>7</v>
      </c>
      <c r="S317">
        <v>-10.25</v>
      </c>
    </row>
    <row r="318" spans="1:19" x14ac:dyDescent="0.25">
      <c r="A318">
        <v>317</v>
      </c>
      <c r="B318" s="2">
        <v>44810</v>
      </c>
      <c r="C318">
        <v>2022</v>
      </c>
      <c r="D318" t="s">
        <v>25</v>
      </c>
      <c r="E318" s="2">
        <v>44811</v>
      </c>
      <c r="F318">
        <v>1</v>
      </c>
      <c r="G318" t="s">
        <v>32</v>
      </c>
      <c r="H318" t="s">
        <v>40</v>
      </c>
      <c r="I318" t="s">
        <v>323</v>
      </c>
      <c r="J318" t="s">
        <v>328</v>
      </c>
      <c r="K318" t="s">
        <v>332</v>
      </c>
      <c r="L318" t="s">
        <v>341</v>
      </c>
      <c r="M318" t="s">
        <v>348</v>
      </c>
      <c r="N318" t="s">
        <v>352</v>
      </c>
      <c r="O318" t="s">
        <v>358</v>
      </c>
      <c r="P318" t="s">
        <v>359</v>
      </c>
      <c r="Q318">
        <v>233.01</v>
      </c>
      <c r="R318">
        <v>1</v>
      </c>
      <c r="S318">
        <v>22.97</v>
      </c>
    </row>
    <row r="319" spans="1:19" x14ac:dyDescent="0.25">
      <c r="A319">
        <v>318</v>
      </c>
      <c r="B319" s="2">
        <v>43992</v>
      </c>
      <c r="C319">
        <v>2020</v>
      </c>
      <c r="D319" t="s">
        <v>21</v>
      </c>
      <c r="E319" s="2">
        <v>43997</v>
      </c>
      <c r="F319">
        <v>5</v>
      </c>
      <c r="G319" t="s">
        <v>34</v>
      </c>
      <c r="H319" t="s">
        <v>193</v>
      </c>
      <c r="I319" t="s">
        <v>325</v>
      </c>
      <c r="J319" t="s">
        <v>328</v>
      </c>
      <c r="K319" t="s">
        <v>336</v>
      </c>
      <c r="L319" t="s">
        <v>343</v>
      </c>
      <c r="M319" t="s">
        <v>347</v>
      </c>
      <c r="N319" t="s">
        <v>351</v>
      </c>
      <c r="O319" t="s">
        <v>356</v>
      </c>
      <c r="P319" t="s">
        <v>360</v>
      </c>
      <c r="Q319">
        <v>344.74</v>
      </c>
      <c r="R319">
        <v>1</v>
      </c>
      <c r="S319">
        <v>164.39</v>
      </c>
    </row>
    <row r="320" spans="1:19" x14ac:dyDescent="0.25">
      <c r="A320">
        <v>319</v>
      </c>
      <c r="B320" s="2">
        <v>44947</v>
      </c>
      <c r="C320">
        <v>2023</v>
      </c>
      <c r="D320" t="s">
        <v>23</v>
      </c>
      <c r="E320" s="2">
        <v>44949</v>
      </c>
      <c r="F320">
        <v>2</v>
      </c>
      <c r="G320" t="s">
        <v>32</v>
      </c>
      <c r="H320" t="s">
        <v>230</v>
      </c>
      <c r="I320" t="s">
        <v>324</v>
      </c>
      <c r="J320" t="s">
        <v>328</v>
      </c>
      <c r="K320" t="s">
        <v>335</v>
      </c>
      <c r="L320" t="s">
        <v>335</v>
      </c>
      <c r="M320" t="s">
        <v>345</v>
      </c>
      <c r="N320" t="s">
        <v>351</v>
      </c>
      <c r="O320" t="s">
        <v>356</v>
      </c>
      <c r="P320" t="s">
        <v>359</v>
      </c>
      <c r="Q320">
        <v>192.85</v>
      </c>
      <c r="R320">
        <v>10</v>
      </c>
      <c r="S320">
        <v>-3.89</v>
      </c>
    </row>
    <row r="321" spans="1:19" x14ac:dyDescent="0.25">
      <c r="A321">
        <v>320</v>
      </c>
      <c r="B321" s="2">
        <v>45348</v>
      </c>
      <c r="C321">
        <v>2024</v>
      </c>
      <c r="D321" t="s">
        <v>28</v>
      </c>
      <c r="E321" s="2">
        <v>45353</v>
      </c>
      <c r="F321">
        <v>5</v>
      </c>
      <c r="G321" t="s">
        <v>34</v>
      </c>
      <c r="H321" t="s">
        <v>207</v>
      </c>
      <c r="I321" t="s">
        <v>324</v>
      </c>
      <c r="J321" t="s">
        <v>327</v>
      </c>
      <c r="K321" t="s">
        <v>330</v>
      </c>
      <c r="L321" t="s">
        <v>339</v>
      </c>
      <c r="M321" t="s">
        <v>346</v>
      </c>
      <c r="N321" t="s">
        <v>350</v>
      </c>
      <c r="O321" t="s">
        <v>353</v>
      </c>
      <c r="P321" t="s">
        <v>362</v>
      </c>
      <c r="Q321">
        <v>448.88</v>
      </c>
      <c r="R321">
        <v>8</v>
      </c>
      <c r="S321">
        <v>-18.809999999999999</v>
      </c>
    </row>
    <row r="322" spans="1:19" x14ac:dyDescent="0.25">
      <c r="A322">
        <v>321</v>
      </c>
      <c r="B322" s="2">
        <v>45238</v>
      </c>
      <c r="C322">
        <v>2023</v>
      </c>
      <c r="D322" t="s">
        <v>30</v>
      </c>
      <c r="E322" s="2">
        <v>45240</v>
      </c>
      <c r="F322">
        <v>2</v>
      </c>
      <c r="G322" t="s">
        <v>31</v>
      </c>
      <c r="H322" t="s">
        <v>218</v>
      </c>
      <c r="I322" t="s">
        <v>324</v>
      </c>
      <c r="J322" t="s">
        <v>327</v>
      </c>
      <c r="K322" t="s">
        <v>337</v>
      </c>
      <c r="L322" t="s">
        <v>344</v>
      </c>
      <c r="M322" t="s">
        <v>347</v>
      </c>
      <c r="N322" t="s">
        <v>352</v>
      </c>
      <c r="O322" t="s">
        <v>358</v>
      </c>
      <c r="P322" t="s">
        <v>359</v>
      </c>
      <c r="Q322">
        <v>314.41000000000003</v>
      </c>
      <c r="R322">
        <v>2</v>
      </c>
      <c r="S322">
        <v>1.33</v>
      </c>
    </row>
    <row r="323" spans="1:19" x14ac:dyDescent="0.25">
      <c r="A323">
        <v>322</v>
      </c>
      <c r="B323" s="2">
        <v>45537</v>
      </c>
      <c r="C323">
        <v>2024</v>
      </c>
      <c r="D323" t="s">
        <v>25</v>
      </c>
      <c r="E323" s="2">
        <v>45547</v>
      </c>
      <c r="F323">
        <v>10</v>
      </c>
      <c r="G323" t="s">
        <v>31</v>
      </c>
      <c r="H323" t="s">
        <v>231</v>
      </c>
      <c r="I323" t="s">
        <v>324</v>
      </c>
      <c r="J323" t="s">
        <v>327</v>
      </c>
      <c r="K323" t="s">
        <v>337</v>
      </c>
      <c r="L323" t="s">
        <v>344</v>
      </c>
      <c r="M323" t="s">
        <v>347</v>
      </c>
      <c r="N323" t="s">
        <v>352</v>
      </c>
      <c r="O323" t="s">
        <v>358</v>
      </c>
      <c r="P323" t="s">
        <v>360</v>
      </c>
      <c r="Q323">
        <v>422.64</v>
      </c>
      <c r="R323">
        <v>9</v>
      </c>
      <c r="S323">
        <v>-94.49</v>
      </c>
    </row>
    <row r="324" spans="1:19" x14ac:dyDescent="0.25">
      <c r="A324">
        <v>323</v>
      </c>
      <c r="B324" s="2">
        <v>45976</v>
      </c>
      <c r="C324">
        <v>2025</v>
      </c>
      <c r="D324" t="s">
        <v>30</v>
      </c>
      <c r="E324" s="2">
        <v>45978</v>
      </c>
      <c r="F324">
        <v>2</v>
      </c>
      <c r="G324" t="s">
        <v>34</v>
      </c>
      <c r="H324" t="s">
        <v>57</v>
      </c>
      <c r="I324" t="s">
        <v>325</v>
      </c>
      <c r="J324" t="s">
        <v>327</v>
      </c>
      <c r="K324" t="s">
        <v>337</v>
      </c>
      <c r="L324" t="s">
        <v>344</v>
      </c>
      <c r="M324" t="s">
        <v>347</v>
      </c>
      <c r="N324" t="s">
        <v>350</v>
      </c>
      <c r="O324" t="s">
        <v>354</v>
      </c>
      <c r="P324" t="s">
        <v>362</v>
      </c>
      <c r="Q324">
        <v>105</v>
      </c>
      <c r="R324">
        <v>7</v>
      </c>
      <c r="S324">
        <v>-21.14</v>
      </c>
    </row>
    <row r="325" spans="1:19" x14ac:dyDescent="0.25">
      <c r="A325">
        <v>324</v>
      </c>
      <c r="B325" s="2">
        <v>44542</v>
      </c>
      <c r="C325">
        <v>2021</v>
      </c>
      <c r="D325" t="s">
        <v>29</v>
      </c>
      <c r="E325" s="2">
        <v>44552</v>
      </c>
      <c r="F325">
        <v>10</v>
      </c>
      <c r="G325" t="s">
        <v>31</v>
      </c>
      <c r="H325" t="s">
        <v>206</v>
      </c>
      <c r="I325" t="s">
        <v>323</v>
      </c>
      <c r="J325" t="s">
        <v>326</v>
      </c>
      <c r="K325" t="s">
        <v>331</v>
      </c>
      <c r="L325" t="s">
        <v>340</v>
      </c>
      <c r="M325" t="s">
        <v>347</v>
      </c>
      <c r="N325" t="s">
        <v>350</v>
      </c>
      <c r="O325" t="s">
        <v>353</v>
      </c>
      <c r="P325" t="s">
        <v>361</v>
      </c>
      <c r="Q325">
        <v>467.83</v>
      </c>
      <c r="R325">
        <v>9</v>
      </c>
      <c r="S325">
        <v>-95.53</v>
      </c>
    </row>
    <row r="326" spans="1:19" x14ac:dyDescent="0.25">
      <c r="A326">
        <v>325</v>
      </c>
      <c r="B326" s="2">
        <v>44349</v>
      </c>
      <c r="C326">
        <v>2021</v>
      </c>
      <c r="D326" t="s">
        <v>21</v>
      </c>
      <c r="E326" s="2">
        <v>44353</v>
      </c>
      <c r="F326">
        <v>4</v>
      </c>
      <c r="G326" t="s">
        <v>33</v>
      </c>
      <c r="H326" t="s">
        <v>232</v>
      </c>
      <c r="I326" t="s">
        <v>323</v>
      </c>
      <c r="J326" t="s">
        <v>328</v>
      </c>
      <c r="K326" t="s">
        <v>336</v>
      </c>
      <c r="L326" t="s">
        <v>343</v>
      </c>
      <c r="M326" t="s">
        <v>347</v>
      </c>
      <c r="N326" t="s">
        <v>350</v>
      </c>
      <c r="O326" t="s">
        <v>353</v>
      </c>
      <c r="P326" t="s">
        <v>359</v>
      </c>
      <c r="Q326">
        <v>400.04</v>
      </c>
      <c r="R326">
        <v>4</v>
      </c>
      <c r="S326">
        <v>-98.72</v>
      </c>
    </row>
    <row r="327" spans="1:19" x14ac:dyDescent="0.25">
      <c r="A327">
        <v>326</v>
      </c>
      <c r="B327" s="2">
        <v>45907</v>
      </c>
      <c r="C327">
        <v>2025</v>
      </c>
      <c r="D327" t="s">
        <v>25</v>
      </c>
      <c r="E327" s="2">
        <v>45917</v>
      </c>
      <c r="F327">
        <v>10</v>
      </c>
      <c r="G327" t="s">
        <v>33</v>
      </c>
      <c r="H327" t="s">
        <v>75</v>
      </c>
      <c r="I327" t="s">
        <v>325</v>
      </c>
      <c r="J327" t="s">
        <v>328</v>
      </c>
      <c r="K327" t="s">
        <v>332</v>
      </c>
      <c r="L327" t="s">
        <v>341</v>
      </c>
      <c r="M327" t="s">
        <v>348</v>
      </c>
      <c r="N327" t="s">
        <v>352</v>
      </c>
      <c r="O327" t="s">
        <v>357</v>
      </c>
      <c r="P327" t="s">
        <v>361</v>
      </c>
      <c r="Q327">
        <v>288.64</v>
      </c>
      <c r="R327">
        <v>6</v>
      </c>
      <c r="S327">
        <v>15.11</v>
      </c>
    </row>
    <row r="328" spans="1:19" x14ac:dyDescent="0.25">
      <c r="A328">
        <v>327</v>
      </c>
      <c r="B328" s="2">
        <v>44882</v>
      </c>
      <c r="C328">
        <v>2022</v>
      </c>
      <c r="D328" t="s">
        <v>30</v>
      </c>
      <c r="E328" s="2">
        <v>44884</v>
      </c>
      <c r="F328">
        <v>2</v>
      </c>
      <c r="G328" t="s">
        <v>31</v>
      </c>
      <c r="H328" t="s">
        <v>233</v>
      </c>
      <c r="I328" t="s">
        <v>324</v>
      </c>
      <c r="J328" t="s">
        <v>327</v>
      </c>
      <c r="K328" t="s">
        <v>337</v>
      </c>
      <c r="L328" t="s">
        <v>344</v>
      </c>
      <c r="M328" t="s">
        <v>347</v>
      </c>
      <c r="N328" t="s">
        <v>352</v>
      </c>
      <c r="O328" t="s">
        <v>358</v>
      </c>
      <c r="P328" t="s">
        <v>360</v>
      </c>
      <c r="Q328">
        <v>118.5</v>
      </c>
      <c r="R328">
        <v>2</v>
      </c>
      <c r="S328">
        <v>-9.06</v>
      </c>
    </row>
    <row r="329" spans="1:19" x14ac:dyDescent="0.25">
      <c r="A329">
        <v>328</v>
      </c>
      <c r="B329" s="2">
        <v>45807</v>
      </c>
      <c r="C329">
        <v>2025</v>
      </c>
      <c r="D329" t="s">
        <v>19</v>
      </c>
      <c r="E329" s="2">
        <v>45813</v>
      </c>
      <c r="F329">
        <v>6</v>
      </c>
      <c r="G329" t="s">
        <v>32</v>
      </c>
      <c r="H329" t="s">
        <v>73</v>
      </c>
      <c r="I329" t="s">
        <v>323</v>
      </c>
      <c r="J329" t="s">
        <v>327</v>
      </c>
      <c r="K329" t="s">
        <v>337</v>
      </c>
      <c r="L329" t="s">
        <v>344</v>
      </c>
      <c r="M329" t="s">
        <v>347</v>
      </c>
      <c r="N329" t="s">
        <v>352</v>
      </c>
      <c r="O329" t="s">
        <v>358</v>
      </c>
      <c r="P329" t="s">
        <v>361</v>
      </c>
      <c r="Q329">
        <v>264.64999999999998</v>
      </c>
      <c r="R329">
        <v>6</v>
      </c>
      <c r="S329">
        <v>-70.67</v>
      </c>
    </row>
    <row r="330" spans="1:19" x14ac:dyDescent="0.25">
      <c r="A330">
        <v>329</v>
      </c>
      <c r="B330" s="2">
        <v>44698</v>
      </c>
      <c r="C330">
        <v>2022</v>
      </c>
      <c r="D330" t="s">
        <v>19</v>
      </c>
      <c r="E330" s="2">
        <v>44700</v>
      </c>
      <c r="F330">
        <v>2</v>
      </c>
      <c r="G330" t="s">
        <v>34</v>
      </c>
      <c r="H330" t="s">
        <v>225</v>
      </c>
      <c r="I330" t="s">
        <v>325</v>
      </c>
      <c r="J330" t="s">
        <v>328</v>
      </c>
      <c r="K330" t="s">
        <v>336</v>
      </c>
      <c r="L330" t="s">
        <v>343</v>
      </c>
      <c r="M330" t="s">
        <v>347</v>
      </c>
      <c r="N330" t="s">
        <v>352</v>
      </c>
      <c r="O330" t="s">
        <v>357</v>
      </c>
      <c r="P330" t="s">
        <v>360</v>
      </c>
      <c r="Q330">
        <v>116.29</v>
      </c>
      <c r="R330">
        <v>8</v>
      </c>
      <c r="S330">
        <v>26.93</v>
      </c>
    </row>
    <row r="331" spans="1:19" x14ac:dyDescent="0.25">
      <c r="A331">
        <v>330</v>
      </c>
      <c r="B331" s="2">
        <v>45328</v>
      </c>
      <c r="C331">
        <v>2024</v>
      </c>
      <c r="D331" t="s">
        <v>28</v>
      </c>
      <c r="E331" s="2">
        <v>45334</v>
      </c>
      <c r="F331">
        <v>6</v>
      </c>
      <c r="G331" t="s">
        <v>33</v>
      </c>
      <c r="H331" t="s">
        <v>94</v>
      </c>
      <c r="I331" t="s">
        <v>325</v>
      </c>
      <c r="J331" t="s">
        <v>328</v>
      </c>
      <c r="K331" t="s">
        <v>335</v>
      </c>
      <c r="L331" t="s">
        <v>335</v>
      </c>
      <c r="M331" t="s">
        <v>345</v>
      </c>
      <c r="N331" t="s">
        <v>351</v>
      </c>
      <c r="O331" t="s">
        <v>356</v>
      </c>
      <c r="P331" t="s">
        <v>362</v>
      </c>
      <c r="Q331">
        <v>117.65</v>
      </c>
      <c r="R331">
        <v>7</v>
      </c>
      <c r="S331">
        <v>-17.05</v>
      </c>
    </row>
    <row r="332" spans="1:19" x14ac:dyDescent="0.25">
      <c r="A332">
        <v>331</v>
      </c>
      <c r="B332" s="2">
        <v>45625</v>
      </c>
      <c r="C332">
        <v>2024</v>
      </c>
      <c r="D332" t="s">
        <v>30</v>
      </c>
      <c r="E332" s="2">
        <v>45630</v>
      </c>
      <c r="F332">
        <v>5</v>
      </c>
      <c r="G332" t="s">
        <v>34</v>
      </c>
      <c r="H332" t="s">
        <v>84</v>
      </c>
      <c r="I332" t="s">
        <v>323</v>
      </c>
      <c r="J332" t="s">
        <v>326</v>
      </c>
      <c r="K332" t="s">
        <v>331</v>
      </c>
      <c r="L332" t="s">
        <v>340</v>
      </c>
      <c r="M332" t="s">
        <v>347</v>
      </c>
      <c r="N332" t="s">
        <v>350</v>
      </c>
      <c r="O332" t="s">
        <v>354</v>
      </c>
      <c r="P332" t="s">
        <v>361</v>
      </c>
      <c r="Q332">
        <v>150.94</v>
      </c>
      <c r="R332">
        <v>5</v>
      </c>
      <c r="S332">
        <v>70.44</v>
      </c>
    </row>
    <row r="333" spans="1:19" x14ac:dyDescent="0.25">
      <c r="A333">
        <v>332</v>
      </c>
      <c r="B333" s="2">
        <v>44860</v>
      </c>
      <c r="C333">
        <v>2022</v>
      </c>
      <c r="D333" t="s">
        <v>22</v>
      </c>
      <c r="E333" s="2">
        <v>44866</v>
      </c>
      <c r="F333">
        <v>6</v>
      </c>
      <c r="G333" t="s">
        <v>33</v>
      </c>
      <c r="H333" t="s">
        <v>131</v>
      </c>
      <c r="I333" t="s">
        <v>324</v>
      </c>
      <c r="J333" t="s">
        <v>326</v>
      </c>
      <c r="K333" t="s">
        <v>333</v>
      </c>
      <c r="L333" t="s">
        <v>342</v>
      </c>
      <c r="M333" t="s">
        <v>345</v>
      </c>
      <c r="N333" t="s">
        <v>352</v>
      </c>
      <c r="O333" t="s">
        <v>358</v>
      </c>
      <c r="P333" t="s">
        <v>362</v>
      </c>
      <c r="Q333">
        <v>180.74</v>
      </c>
      <c r="R333">
        <v>9</v>
      </c>
      <c r="S333">
        <v>87.65</v>
      </c>
    </row>
    <row r="334" spans="1:19" x14ac:dyDescent="0.25">
      <c r="A334">
        <v>333</v>
      </c>
      <c r="B334" s="2">
        <v>45579</v>
      </c>
      <c r="C334">
        <v>2024</v>
      </c>
      <c r="D334" t="s">
        <v>22</v>
      </c>
      <c r="E334" s="2">
        <v>45580</v>
      </c>
      <c r="F334">
        <v>1</v>
      </c>
      <c r="G334" t="s">
        <v>31</v>
      </c>
      <c r="H334" t="s">
        <v>171</v>
      </c>
      <c r="I334" t="s">
        <v>325</v>
      </c>
      <c r="J334" t="s">
        <v>326</v>
      </c>
      <c r="K334" t="s">
        <v>333</v>
      </c>
      <c r="L334" t="s">
        <v>342</v>
      </c>
      <c r="M334" t="s">
        <v>345</v>
      </c>
      <c r="N334" t="s">
        <v>350</v>
      </c>
      <c r="O334" t="s">
        <v>354</v>
      </c>
      <c r="P334" t="s">
        <v>362</v>
      </c>
      <c r="Q334">
        <v>492.06</v>
      </c>
      <c r="R334">
        <v>4</v>
      </c>
      <c r="S334">
        <v>-69.56</v>
      </c>
    </row>
    <row r="335" spans="1:19" x14ac:dyDescent="0.25">
      <c r="A335">
        <v>334</v>
      </c>
      <c r="B335" s="2">
        <v>45592</v>
      </c>
      <c r="C335">
        <v>2024</v>
      </c>
      <c r="D335" t="s">
        <v>22</v>
      </c>
      <c r="E335" s="2">
        <v>45596</v>
      </c>
      <c r="F335">
        <v>4</v>
      </c>
      <c r="G335" t="s">
        <v>32</v>
      </c>
      <c r="H335" t="s">
        <v>106</v>
      </c>
      <c r="I335" t="s">
        <v>325</v>
      </c>
      <c r="J335" t="s">
        <v>327</v>
      </c>
      <c r="K335" t="s">
        <v>334</v>
      </c>
      <c r="L335" t="s">
        <v>334</v>
      </c>
      <c r="M335" t="s">
        <v>349</v>
      </c>
      <c r="N335" t="s">
        <v>350</v>
      </c>
      <c r="O335" t="s">
        <v>354</v>
      </c>
      <c r="P335" t="s">
        <v>360</v>
      </c>
      <c r="Q335">
        <v>111.45</v>
      </c>
      <c r="R335">
        <v>10</v>
      </c>
      <c r="S335">
        <v>38.450000000000003</v>
      </c>
    </row>
    <row r="336" spans="1:19" x14ac:dyDescent="0.25">
      <c r="A336">
        <v>335</v>
      </c>
      <c r="B336" s="2">
        <v>45646</v>
      </c>
      <c r="C336">
        <v>2024</v>
      </c>
      <c r="D336" t="s">
        <v>29</v>
      </c>
      <c r="E336" s="2">
        <v>45655</v>
      </c>
      <c r="F336">
        <v>9</v>
      </c>
      <c r="G336" t="s">
        <v>32</v>
      </c>
      <c r="H336" t="s">
        <v>215</v>
      </c>
      <c r="I336" t="s">
        <v>325</v>
      </c>
      <c r="J336" t="s">
        <v>326</v>
      </c>
      <c r="K336" t="s">
        <v>331</v>
      </c>
      <c r="L336" t="s">
        <v>340</v>
      </c>
      <c r="M336" t="s">
        <v>347</v>
      </c>
      <c r="N336" t="s">
        <v>351</v>
      </c>
      <c r="O336" t="s">
        <v>356</v>
      </c>
      <c r="P336" t="s">
        <v>359</v>
      </c>
      <c r="Q336">
        <v>381.21</v>
      </c>
      <c r="R336">
        <v>9</v>
      </c>
      <c r="S336">
        <v>-92.69</v>
      </c>
    </row>
    <row r="337" spans="1:19" x14ac:dyDescent="0.25">
      <c r="A337">
        <v>336</v>
      </c>
      <c r="B337" s="2">
        <v>44001</v>
      </c>
      <c r="C337">
        <v>2020</v>
      </c>
      <c r="D337" t="s">
        <v>21</v>
      </c>
      <c r="E337" s="2">
        <v>44007</v>
      </c>
      <c r="F337">
        <v>6</v>
      </c>
      <c r="G337" t="s">
        <v>33</v>
      </c>
      <c r="H337" t="s">
        <v>234</v>
      </c>
      <c r="I337" t="s">
        <v>325</v>
      </c>
      <c r="J337" t="s">
        <v>327</v>
      </c>
      <c r="K337" t="s">
        <v>330</v>
      </c>
      <c r="L337" t="s">
        <v>339</v>
      </c>
      <c r="M337" t="s">
        <v>346</v>
      </c>
      <c r="N337" t="s">
        <v>352</v>
      </c>
      <c r="O337" t="s">
        <v>358</v>
      </c>
      <c r="P337" t="s">
        <v>360</v>
      </c>
      <c r="Q337">
        <v>433.38</v>
      </c>
      <c r="R337">
        <v>2</v>
      </c>
      <c r="S337">
        <v>187.34</v>
      </c>
    </row>
    <row r="338" spans="1:19" x14ac:dyDescent="0.25">
      <c r="A338">
        <v>337</v>
      </c>
      <c r="B338" s="2">
        <v>45653</v>
      </c>
      <c r="C338">
        <v>2024</v>
      </c>
      <c r="D338" t="s">
        <v>29</v>
      </c>
      <c r="E338" s="2">
        <v>45657</v>
      </c>
      <c r="F338">
        <v>4</v>
      </c>
      <c r="G338" t="s">
        <v>32</v>
      </c>
      <c r="H338" t="s">
        <v>235</v>
      </c>
      <c r="I338" t="s">
        <v>323</v>
      </c>
      <c r="J338" t="s">
        <v>326</v>
      </c>
      <c r="K338" t="s">
        <v>333</v>
      </c>
      <c r="L338" t="s">
        <v>342</v>
      </c>
      <c r="M338" t="s">
        <v>345</v>
      </c>
      <c r="N338" t="s">
        <v>350</v>
      </c>
      <c r="O338" t="s">
        <v>353</v>
      </c>
      <c r="P338" t="s">
        <v>361</v>
      </c>
      <c r="Q338">
        <v>126.26</v>
      </c>
      <c r="R338">
        <v>10</v>
      </c>
      <c r="S338">
        <v>43.5</v>
      </c>
    </row>
    <row r="339" spans="1:19" x14ac:dyDescent="0.25">
      <c r="A339">
        <v>338</v>
      </c>
      <c r="B339" s="2">
        <v>44987</v>
      </c>
      <c r="C339">
        <v>2023</v>
      </c>
      <c r="D339" t="s">
        <v>24</v>
      </c>
      <c r="E339" s="2">
        <v>44990</v>
      </c>
      <c r="F339">
        <v>3</v>
      </c>
      <c r="G339" t="s">
        <v>32</v>
      </c>
      <c r="H339" t="s">
        <v>156</v>
      </c>
      <c r="I339" t="s">
        <v>323</v>
      </c>
      <c r="J339" t="s">
        <v>328</v>
      </c>
      <c r="K339" t="s">
        <v>336</v>
      </c>
      <c r="L339" t="s">
        <v>343</v>
      </c>
      <c r="M339" t="s">
        <v>347</v>
      </c>
      <c r="N339" t="s">
        <v>352</v>
      </c>
      <c r="O339" t="s">
        <v>357</v>
      </c>
      <c r="P339" t="s">
        <v>362</v>
      </c>
      <c r="Q339">
        <v>193.62</v>
      </c>
      <c r="R339">
        <v>10</v>
      </c>
      <c r="S339">
        <v>28.65</v>
      </c>
    </row>
    <row r="340" spans="1:19" x14ac:dyDescent="0.25">
      <c r="A340">
        <v>339</v>
      </c>
      <c r="B340" s="2">
        <v>45872</v>
      </c>
      <c r="C340">
        <v>2025</v>
      </c>
      <c r="D340" t="s">
        <v>27</v>
      </c>
      <c r="E340" s="2">
        <v>45882</v>
      </c>
      <c r="F340">
        <v>10</v>
      </c>
      <c r="G340" t="s">
        <v>34</v>
      </c>
      <c r="H340" t="s">
        <v>236</v>
      </c>
      <c r="I340" t="s">
        <v>325</v>
      </c>
      <c r="J340" t="s">
        <v>328</v>
      </c>
      <c r="K340" t="s">
        <v>335</v>
      </c>
      <c r="L340" t="s">
        <v>335</v>
      </c>
      <c r="M340" t="s">
        <v>345</v>
      </c>
      <c r="N340" t="s">
        <v>351</v>
      </c>
      <c r="O340" t="s">
        <v>355</v>
      </c>
      <c r="P340" t="s">
        <v>360</v>
      </c>
      <c r="Q340">
        <v>36.75</v>
      </c>
      <c r="R340">
        <v>1</v>
      </c>
      <c r="S340">
        <v>9.86</v>
      </c>
    </row>
    <row r="341" spans="1:19" x14ac:dyDescent="0.25">
      <c r="A341">
        <v>340</v>
      </c>
      <c r="B341" s="2">
        <v>45353</v>
      </c>
      <c r="C341">
        <v>2024</v>
      </c>
      <c r="D341" t="s">
        <v>24</v>
      </c>
      <c r="E341" s="2">
        <v>45358</v>
      </c>
      <c r="F341">
        <v>5</v>
      </c>
      <c r="G341" t="s">
        <v>32</v>
      </c>
      <c r="H341" t="s">
        <v>112</v>
      </c>
      <c r="I341" t="s">
        <v>324</v>
      </c>
      <c r="J341" t="s">
        <v>327</v>
      </c>
      <c r="K341" t="s">
        <v>337</v>
      </c>
      <c r="L341" t="s">
        <v>344</v>
      </c>
      <c r="M341" t="s">
        <v>347</v>
      </c>
      <c r="N341" t="s">
        <v>350</v>
      </c>
      <c r="O341" t="s">
        <v>354</v>
      </c>
      <c r="P341" t="s">
        <v>360</v>
      </c>
      <c r="Q341">
        <v>168.79</v>
      </c>
      <c r="R341">
        <v>5</v>
      </c>
      <c r="S341">
        <v>32.19</v>
      </c>
    </row>
    <row r="342" spans="1:19" x14ac:dyDescent="0.25">
      <c r="A342">
        <v>341</v>
      </c>
      <c r="B342" s="2">
        <v>44111</v>
      </c>
      <c r="C342">
        <v>2020</v>
      </c>
      <c r="D342" t="s">
        <v>22</v>
      </c>
      <c r="E342" s="2">
        <v>44117</v>
      </c>
      <c r="F342">
        <v>6</v>
      </c>
      <c r="G342" t="s">
        <v>31</v>
      </c>
      <c r="H342" t="s">
        <v>237</v>
      </c>
      <c r="I342" t="s">
        <v>325</v>
      </c>
      <c r="J342" t="s">
        <v>328</v>
      </c>
      <c r="K342" t="s">
        <v>335</v>
      </c>
      <c r="L342" t="s">
        <v>335</v>
      </c>
      <c r="M342" t="s">
        <v>345</v>
      </c>
      <c r="N342" t="s">
        <v>350</v>
      </c>
      <c r="O342" t="s">
        <v>353</v>
      </c>
      <c r="P342" t="s">
        <v>359</v>
      </c>
      <c r="Q342">
        <v>400.03</v>
      </c>
      <c r="R342">
        <v>6</v>
      </c>
      <c r="S342">
        <v>123.72</v>
      </c>
    </row>
    <row r="343" spans="1:19" x14ac:dyDescent="0.25">
      <c r="A343">
        <v>342</v>
      </c>
      <c r="B343" s="2">
        <v>45147</v>
      </c>
      <c r="C343">
        <v>2023</v>
      </c>
      <c r="D343" t="s">
        <v>27</v>
      </c>
      <c r="E343" s="2">
        <v>45150</v>
      </c>
      <c r="F343">
        <v>3</v>
      </c>
      <c r="G343" t="s">
        <v>32</v>
      </c>
      <c r="H343" t="s">
        <v>218</v>
      </c>
      <c r="I343" t="s">
        <v>324</v>
      </c>
      <c r="J343" t="s">
        <v>328</v>
      </c>
      <c r="K343" t="s">
        <v>332</v>
      </c>
      <c r="L343" t="s">
        <v>341</v>
      </c>
      <c r="M343" t="s">
        <v>348</v>
      </c>
      <c r="N343" t="s">
        <v>352</v>
      </c>
      <c r="O343" t="s">
        <v>357</v>
      </c>
      <c r="P343" t="s">
        <v>361</v>
      </c>
      <c r="Q343">
        <v>287.91000000000003</v>
      </c>
      <c r="R343">
        <v>8</v>
      </c>
      <c r="S343">
        <v>142</v>
      </c>
    </row>
    <row r="344" spans="1:19" x14ac:dyDescent="0.25">
      <c r="A344">
        <v>343</v>
      </c>
      <c r="B344" s="2">
        <v>44252</v>
      </c>
      <c r="C344">
        <v>2021</v>
      </c>
      <c r="D344" t="s">
        <v>28</v>
      </c>
      <c r="E344" s="2">
        <v>44262</v>
      </c>
      <c r="F344">
        <v>10</v>
      </c>
      <c r="G344" t="s">
        <v>33</v>
      </c>
      <c r="H344" t="s">
        <v>238</v>
      </c>
      <c r="I344" t="s">
        <v>325</v>
      </c>
      <c r="J344" t="s">
        <v>326</v>
      </c>
      <c r="K344" t="s">
        <v>333</v>
      </c>
      <c r="L344" t="s">
        <v>342</v>
      </c>
      <c r="M344" t="s">
        <v>345</v>
      </c>
      <c r="N344" t="s">
        <v>352</v>
      </c>
      <c r="O344" t="s">
        <v>358</v>
      </c>
      <c r="P344" t="s">
        <v>360</v>
      </c>
      <c r="Q344">
        <v>313.35000000000002</v>
      </c>
      <c r="R344">
        <v>6</v>
      </c>
      <c r="S344">
        <v>110.15</v>
      </c>
    </row>
    <row r="345" spans="1:19" x14ac:dyDescent="0.25">
      <c r="A345">
        <v>344</v>
      </c>
      <c r="B345" s="2">
        <v>45507</v>
      </c>
      <c r="C345">
        <v>2024</v>
      </c>
      <c r="D345" t="s">
        <v>27</v>
      </c>
      <c r="E345" s="2">
        <v>45508</v>
      </c>
      <c r="F345">
        <v>1</v>
      </c>
      <c r="G345" t="s">
        <v>32</v>
      </c>
      <c r="H345" t="s">
        <v>239</v>
      </c>
      <c r="I345" t="s">
        <v>325</v>
      </c>
      <c r="J345" t="s">
        <v>326</v>
      </c>
      <c r="K345" t="s">
        <v>331</v>
      </c>
      <c r="L345" t="s">
        <v>340</v>
      </c>
      <c r="M345" t="s">
        <v>347</v>
      </c>
      <c r="N345" t="s">
        <v>351</v>
      </c>
      <c r="O345" t="s">
        <v>355</v>
      </c>
      <c r="P345" t="s">
        <v>362</v>
      </c>
      <c r="Q345">
        <v>414.66</v>
      </c>
      <c r="R345">
        <v>5</v>
      </c>
      <c r="S345">
        <v>10.02</v>
      </c>
    </row>
    <row r="346" spans="1:19" x14ac:dyDescent="0.25">
      <c r="A346">
        <v>345</v>
      </c>
      <c r="B346" s="2">
        <v>45679</v>
      </c>
      <c r="C346">
        <v>2025</v>
      </c>
      <c r="D346" t="s">
        <v>23</v>
      </c>
      <c r="E346" s="2">
        <v>45685</v>
      </c>
      <c r="F346">
        <v>6</v>
      </c>
      <c r="G346" t="s">
        <v>34</v>
      </c>
      <c r="H346" t="s">
        <v>188</v>
      </c>
      <c r="I346" t="s">
        <v>323</v>
      </c>
      <c r="J346" t="s">
        <v>328</v>
      </c>
      <c r="K346" t="s">
        <v>332</v>
      </c>
      <c r="L346" t="s">
        <v>341</v>
      </c>
      <c r="M346" t="s">
        <v>348</v>
      </c>
      <c r="N346" t="s">
        <v>350</v>
      </c>
      <c r="O346" t="s">
        <v>353</v>
      </c>
      <c r="P346" t="s">
        <v>360</v>
      </c>
      <c r="Q346">
        <v>134.84</v>
      </c>
      <c r="R346">
        <v>2</v>
      </c>
      <c r="S346">
        <v>36.229999999999997</v>
      </c>
    </row>
    <row r="347" spans="1:19" x14ac:dyDescent="0.25">
      <c r="A347">
        <v>346</v>
      </c>
      <c r="B347" s="2">
        <v>43947</v>
      </c>
      <c r="C347">
        <v>2020</v>
      </c>
      <c r="D347" t="s">
        <v>26</v>
      </c>
      <c r="E347" s="2">
        <v>43950</v>
      </c>
      <c r="F347">
        <v>3</v>
      </c>
      <c r="G347" t="s">
        <v>34</v>
      </c>
      <c r="H347" t="s">
        <v>47</v>
      </c>
      <c r="I347" t="s">
        <v>324</v>
      </c>
      <c r="J347" t="s">
        <v>328</v>
      </c>
      <c r="K347" t="s">
        <v>335</v>
      </c>
      <c r="L347" t="s">
        <v>335</v>
      </c>
      <c r="M347" t="s">
        <v>345</v>
      </c>
      <c r="N347" t="s">
        <v>352</v>
      </c>
      <c r="O347" t="s">
        <v>358</v>
      </c>
      <c r="P347" t="s">
        <v>361</v>
      </c>
      <c r="Q347">
        <v>140.08000000000001</v>
      </c>
      <c r="R347">
        <v>2</v>
      </c>
      <c r="S347">
        <v>66.819999999999993</v>
      </c>
    </row>
    <row r="348" spans="1:19" x14ac:dyDescent="0.25">
      <c r="A348">
        <v>347</v>
      </c>
      <c r="B348" s="2">
        <v>45197</v>
      </c>
      <c r="C348">
        <v>2023</v>
      </c>
      <c r="D348" t="s">
        <v>25</v>
      </c>
      <c r="E348" s="2">
        <v>45202</v>
      </c>
      <c r="F348">
        <v>5</v>
      </c>
      <c r="G348" t="s">
        <v>32</v>
      </c>
      <c r="H348" t="s">
        <v>240</v>
      </c>
      <c r="I348" t="s">
        <v>325</v>
      </c>
      <c r="J348" t="s">
        <v>326</v>
      </c>
      <c r="K348" t="s">
        <v>333</v>
      </c>
      <c r="L348" t="s">
        <v>342</v>
      </c>
      <c r="M348" t="s">
        <v>345</v>
      </c>
      <c r="N348" t="s">
        <v>350</v>
      </c>
      <c r="O348" t="s">
        <v>353</v>
      </c>
      <c r="P348" t="s">
        <v>362</v>
      </c>
      <c r="Q348">
        <v>459.37</v>
      </c>
      <c r="R348">
        <v>7</v>
      </c>
      <c r="S348">
        <v>135.25</v>
      </c>
    </row>
    <row r="349" spans="1:19" x14ac:dyDescent="0.25">
      <c r="A349">
        <v>348</v>
      </c>
      <c r="B349" s="2">
        <v>44503</v>
      </c>
      <c r="C349">
        <v>2021</v>
      </c>
      <c r="D349" t="s">
        <v>30</v>
      </c>
      <c r="E349" s="2">
        <v>44507</v>
      </c>
      <c r="F349">
        <v>4</v>
      </c>
      <c r="G349" t="s">
        <v>34</v>
      </c>
      <c r="H349" t="s">
        <v>48</v>
      </c>
      <c r="I349" t="s">
        <v>323</v>
      </c>
      <c r="J349" t="s">
        <v>327</v>
      </c>
      <c r="K349" t="s">
        <v>330</v>
      </c>
      <c r="L349" t="s">
        <v>339</v>
      </c>
      <c r="M349" t="s">
        <v>346</v>
      </c>
      <c r="N349" t="s">
        <v>351</v>
      </c>
      <c r="O349" t="s">
        <v>356</v>
      </c>
      <c r="P349" t="s">
        <v>361</v>
      </c>
      <c r="Q349">
        <v>382.22</v>
      </c>
      <c r="R349">
        <v>6</v>
      </c>
      <c r="S349">
        <v>-11.69</v>
      </c>
    </row>
    <row r="350" spans="1:19" x14ac:dyDescent="0.25">
      <c r="A350">
        <v>349</v>
      </c>
      <c r="B350" s="2">
        <v>45149</v>
      </c>
      <c r="C350">
        <v>2023</v>
      </c>
      <c r="D350" t="s">
        <v>27</v>
      </c>
      <c r="E350" s="2">
        <v>45154</v>
      </c>
      <c r="F350">
        <v>5</v>
      </c>
      <c r="G350" t="s">
        <v>32</v>
      </c>
      <c r="H350" t="s">
        <v>49</v>
      </c>
      <c r="I350" t="s">
        <v>323</v>
      </c>
      <c r="J350" t="s">
        <v>328</v>
      </c>
      <c r="K350" t="s">
        <v>336</v>
      </c>
      <c r="L350" t="s">
        <v>343</v>
      </c>
      <c r="M350" t="s">
        <v>347</v>
      </c>
      <c r="N350" t="s">
        <v>350</v>
      </c>
      <c r="O350" t="s">
        <v>353</v>
      </c>
      <c r="P350" t="s">
        <v>361</v>
      </c>
      <c r="Q350">
        <v>216.72</v>
      </c>
      <c r="R350">
        <v>5</v>
      </c>
      <c r="S350">
        <v>-42.5</v>
      </c>
    </row>
    <row r="351" spans="1:19" x14ac:dyDescent="0.25">
      <c r="A351">
        <v>350</v>
      </c>
      <c r="B351" s="2">
        <v>44911</v>
      </c>
      <c r="C351">
        <v>2022</v>
      </c>
      <c r="D351" t="s">
        <v>29</v>
      </c>
      <c r="E351" s="2">
        <v>44919</v>
      </c>
      <c r="F351">
        <v>8</v>
      </c>
      <c r="G351" t="s">
        <v>33</v>
      </c>
      <c r="H351" t="s">
        <v>222</v>
      </c>
      <c r="I351" t="s">
        <v>323</v>
      </c>
      <c r="J351" t="s">
        <v>326</v>
      </c>
      <c r="K351" t="s">
        <v>331</v>
      </c>
      <c r="L351" t="s">
        <v>340</v>
      </c>
      <c r="M351" t="s">
        <v>347</v>
      </c>
      <c r="N351" t="s">
        <v>351</v>
      </c>
      <c r="O351" t="s">
        <v>355</v>
      </c>
      <c r="P351" t="s">
        <v>362</v>
      </c>
      <c r="Q351">
        <v>241.67</v>
      </c>
      <c r="R351">
        <v>2</v>
      </c>
      <c r="S351">
        <v>33.07</v>
      </c>
    </row>
    <row r="352" spans="1:19" x14ac:dyDescent="0.25">
      <c r="A352">
        <v>351</v>
      </c>
      <c r="B352" s="2">
        <v>43934</v>
      </c>
      <c r="C352">
        <v>2020</v>
      </c>
      <c r="D352" t="s">
        <v>26</v>
      </c>
      <c r="E352" s="2">
        <v>43939</v>
      </c>
      <c r="F352">
        <v>5</v>
      </c>
      <c r="G352" t="s">
        <v>31</v>
      </c>
      <c r="H352" t="s">
        <v>241</v>
      </c>
      <c r="I352" t="s">
        <v>325</v>
      </c>
      <c r="J352" t="s">
        <v>328</v>
      </c>
      <c r="K352" t="s">
        <v>335</v>
      </c>
      <c r="L352" t="s">
        <v>335</v>
      </c>
      <c r="M352" t="s">
        <v>345</v>
      </c>
      <c r="N352" t="s">
        <v>352</v>
      </c>
      <c r="O352" t="s">
        <v>358</v>
      </c>
      <c r="P352" t="s">
        <v>360</v>
      </c>
      <c r="Q352">
        <v>129.9</v>
      </c>
      <c r="R352">
        <v>9</v>
      </c>
      <c r="S352">
        <v>52.93</v>
      </c>
    </row>
    <row r="353" spans="1:19" x14ac:dyDescent="0.25">
      <c r="A353">
        <v>352</v>
      </c>
      <c r="B353" s="2">
        <v>45491</v>
      </c>
      <c r="C353">
        <v>2024</v>
      </c>
      <c r="D353" t="s">
        <v>20</v>
      </c>
      <c r="E353" s="2">
        <v>45494</v>
      </c>
      <c r="F353">
        <v>3</v>
      </c>
      <c r="G353" t="s">
        <v>32</v>
      </c>
      <c r="H353" t="s">
        <v>242</v>
      </c>
      <c r="I353" t="s">
        <v>325</v>
      </c>
      <c r="J353" t="s">
        <v>328</v>
      </c>
      <c r="K353" t="s">
        <v>336</v>
      </c>
      <c r="L353" t="s">
        <v>343</v>
      </c>
      <c r="M353" t="s">
        <v>347</v>
      </c>
      <c r="N353" t="s">
        <v>351</v>
      </c>
      <c r="O353" t="s">
        <v>356</v>
      </c>
      <c r="P353" t="s">
        <v>360</v>
      </c>
      <c r="Q353">
        <v>470.43</v>
      </c>
      <c r="R353">
        <v>10</v>
      </c>
      <c r="S353">
        <v>68.47</v>
      </c>
    </row>
    <row r="354" spans="1:19" x14ac:dyDescent="0.25">
      <c r="A354">
        <v>353</v>
      </c>
      <c r="B354" s="2">
        <v>44167</v>
      </c>
      <c r="C354">
        <v>2020</v>
      </c>
      <c r="D354" t="s">
        <v>29</v>
      </c>
      <c r="E354" s="2">
        <v>44172</v>
      </c>
      <c r="F354">
        <v>5</v>
      </c>
      <c r="G354" t="s">
        <v>33</v>
      </c>
      <c r="H354" t="s">
        <v>147</v>
      </c>
      <c r="I354" t="s">
        <v>323</v>
      </c>
      <c r="J354" t="s">
        <v>327</v>
      </c>
      <c r="K354" t="s">
        <v>330</v>
      </c>
      <c r="L354" t="s">
        <v>339</v>
      </c>
      <c r="M354" t="s">
        <v>346</v>
      </c>
      <c r="N354" t="s">
        <v>351</v>
      </c>
      <c r="O354" t="s">
        <v>356</v>
      </c>
      <c r="P354" t="s">
        <v>360</v>
      </c>
      <c r="Q354">
        <v>424.95</v>
      </c>
      <c r="R354">
        <v>5</v>
      </c>
      <c r="S354">
        <v>80.98</v>
      </c>
    </row>
    <row r="355" spans="1:19" x14ac:dyDescent="0.25">
      <c r="A355">
        <v>354</v>
      </c>
      <c r="B355" s="2">
        <v>45910</v>
      </c>
      <c r="C355">
        <v>2025</v>
      </c>
      <c r="D355" t="s">
        <v>25</v>
      </c>
      <c r="E355" s="2">
        <v>45920</v>
      </c>
      <c r="F355">
        <v>10</v>
      </c>
      <c r="G355" t="s">
        <v>32</v>
      </c>
      <c r="H355" t="s">
        <v>138</v>
      </c>
      <c r="I355" t="s">
        <v>323</v>
      </c>
      <c r="J355" t="s">
        <v>326</v>
      </c>
      <c r="K355" t="s">
        <v>329</v>
      </c>
      <c r="L355" t="s">
        <v>338</v>
      </c>
      <c r="M355" t="s">
        <v>345</v>
      </c>
      <c r="N355" t="s">
        <v>351</v>
      </c>
      <c r="O355" t="s">
        <v>355</v>
      </c>
      <c r="P355" t="s">
        <v>360</v>
      </c>
      <c r="Q355">
        <v>339.24</v>
      </c>
      <c r="R355">
        <v>3</v>
      </c>
      <c r="S355">
        <v>-68.33</v>
      </c>
    </row>
    <row r="356" spans="1:19" x14ac:dyDescent="0.25">
      <c r="A356">
        <v>355</v>
      </c>
      <c r="B356" s="2">
        <v>44852</v>
      </c>
      <c r="C356">
        <v>2022</v>
      </c>
      <c r="D356" t="s">
        <v>22</v>
      </c>
      <c r="E356" s="2">
        <v>44859</v>
      </c>
      <c r="F356">
        <v>7</v>
      </c>
      <c r="G356" t="s">
        <v>31</v>
      </c>
      <c r="H356" t="s">
        <v>140</v>
      </c>
      <c r="I356" t="s">
        <v>325</v>
      </c>
      <c r="J356" t="s">
        <v>328</v>
      </c>
      <c r="K356" t="s">
        <v>335</v>
      </c>
      <c r="L356" t="s">
        <v>335</v>
      </c>
      <c r="M356" t="s">
        <v>345</v>
      </c>
      <c r="N356" t="s">
        <v>350</v>
      </c>
      <c r="O356" t="s">
        <v>354</v>
      </c>
      <c r="P356" t="s">
        <v>360</v>
      </c>
      <c r="Q356">
        <v>191.75</v>
      </c>
      <c r="R356">
        <v>1</v>
      </c>
      <c r="S356">
        <v>23.24</v>
      </c>
    </row>
    <row r="357" spans="1:19" x14ac:dyDescent="0.25">
      <c r="A357">
        <v>356</v>
      </c>
      <c r="B357" s="2">
        <v>45137</v>
      </c>
      <c r="C357">
        <v>2023</v>
      </c>
      <c r="D357" t="s">
        <v>20</v>
      </c>
      <c r="E357" s="2">
        <v>45140</v>
      </c>
      <c r="F357">
        <v>3</v>
      </c>
      <c r="G357" t="s">
        <v>34</v>
      </c>
      <c r="H357" t="s">
        <v>129</v>
      </c>
      <c r="I357" t="s">
        <v>324</v>
      </c>
      <c r="J357" t="s">
        <v>328</v>
      </c>
      <c r="K357" t="s">
        <v>332</v>
      </c>
      <c r="L357" t="s">
        <v>341</v>
      </c>
      <c r="M357" t="s">
        <v>348</v>
      </c>
      <c r="N357" t="s">
        <v>352</v>
      </c>
      <c r="O357" t="s">
        <v>358</v>
      </c>
      <c r="P357" t="s">
        <v>360</v>
      </c>
      <c r="Q357">
        <v>440</v>
      </c>
      <c r="R357">
        <v>6</v>
      </c>
      <c r="S357">
        <v>-46.17</v>
      </c>
    </row>
    <row r="358" spans="1:19" x14ac:dyDescent="0.25">
      <c r="A358">
        <v>357</v>
      </c>
      <c r="B358" s="2">
        <v>44929</v>
      </c>
      <c r="C358">
        <v>2023</v>
      </c>
      <c r="D358" t="s">
        <v>23</v>
      </c>
      <c r="E358" s="2">
        <v>44935</v>
      </c>
      <c r="F358">
        <v>6</v>
      </c>
      <c r="G358" t="s">
        <v>32</v>
      </c>
      <c r="H358" t="s">
        <v>55</v>
      </c>
      <c r="I358" t="s">
        <v>324</v>
      </c>
      <c r="J358" t="s">
        <v>326</v>
      </c>
      <c r="K358" t="s">
        <v>329</v>
      </c>
      <c r="L358" t="s">
        <v>338</v>
      </c>
      <c r="M358" t="s">
        <v>345</v>
      </c>
      <c r="N358" t="s">
        <v>352</v>
      </c>
      <c r="O358" t="s">
        <v>357</v>
      </c>
      <c r="P358" t="s">
        <v>359</v>
      </c>
      <c r="Q358">
        <v>48.61</v>
      </c>
      <c r="R358">
        <v>8</v>
      </c>
      <c r="S358">
        <v>8.93</v>
      </c>
    </row>
    <row r="359" spans="1:19" x14ac:dyDescent="0.25">
      <c r="A359">
        <v>358</v>
      </c>
      <c r="B359" s="2">
        <v>44876</v>
      </c>
      <c r="C359">
        <v>2022</v>
      </c>
      <c r="D359" t="s">
        <v>30</v>
      </c>
      <c r="E359" s="2">
        <v>44883</v>
      </c>
      <c r="F359">
        <v>7</v>
      </c>
      <c r="G359" t="s">
        <v>34</v>
      </c>
      <c r="H359" t="s">
        <v>95</v>
      </c>
      <c r="I359" t="s">
        <v>325</v>
      </c>
      <c r="J359" t="s">
        <v>326</v>
      </c>
      <c r="K359" t="s">
        <v>329</v>
      </c>
      <c r="L359" t="s">
        <v>338</v>
      </c>
      <c r="M359" t="s">
        <v>345</v>
      </c>
      <c r="N359" t="s">
        <v>351</v>
      </c>
      <c r="O359" t="s">
        <v>355</v>
      </c>
      <c r="P359" t="s">
        <v>359</v>
      </c>
      <c r="Q359">
        <v>203.25</v>
      </c>
      <c r="R359">
        <v>10</v>
      </c>
      <c r="S359">
        <v>37.53</v>
      </c>
    </row>
    <row r="360" spans="1:19" x14ac:dyDescent="0.25">
      <c r="A360">
        <v>359</v>
      </c>
      <c r="B360" s="2">
        <v>44016</v>
      </c>
      <c r="C360">
        <v>2020</v>
      </c>
      <c r="D360" t="s">
        <v>20</v>
      </c>
      <c r="E360" s="2">
        <v>44024</v>
      </c>
      <c r="F360">
        <v>8</v>
      </c>
      <c r="G360" t="s">
        <v>31</v>
      </c>
      <c r="H360" t="s">
        <v>243</v>
      </c>
      <c r="I360" t="s">
        <v>325</v>
      </c>
      <c r="J360" t="s">
        <v>328</v>
      </c>
      <c r="K360" t="s">
        <v>336</v>
      </c>
      <c r="L360" t="s">
        <v>343</v>
      </c>
      <c r="M360" t="s">
        <v>347</v>
      </c>
      <c r="N360" t="s">
        <v>352</v>
      </c>
      <c r="O360" t="s">
        <v>358</v>
      </c>
      <c r="P360" t="s">
        <v>361</v>
      </c>
      <c r="Q360">
        <v>247.97</v>
      </c>
      <c r="R360">
        <v>10</v>
      </c>
      <c r="S360">
        <v>-57.29</v>
      </c>
    </row>
    <row r="361" spans="1:19" x14ac:dyDescent="0.25">
      <c r="A361">
        <v>360</v>
      </c>
      <c r="B361" s="2">
        <v>45564</v>
      </c>
      <c r="C361">
        <v>2024</v>
      </c>
      <c r="D361" t="s">
        <v>25</v>
      </c>
      <c r="E361" s="2">
        <v>45566</v>
      </c>
      <c r="F361">
        <v>2</v>
      </c>
      <c r="G361" t="s">
        <v>31</v>
      </c>
      <c r="H361" t="s">
        <v>51</v>
      </c>
      <c r="I361" t="s">
        <v>324</v>
      </c>
      <c r="J361" t="s">
        <v>328</v>
      </c>
      <c r="K361" t="s">
        <v>335</v>
      </c>
      <c r="L361" t="s">
        <v>335</v>
      </c>
      <c r="M361" t="s">
        <v>345</v>
      </c>
      <c r="N361" t="s">
        <v>351</v>
      </c>
      <c r="O361" t="s">
        <v>355</v>
      </c>
      <c r="P361" t="s">
        <v>361</v>
      </c>
      <c r="Q361">
        <v>242.85</v>
      </c>
      <c r="R361">
        <v>4</v>
      </c>
      <c r="S361">
        <v>-5.28</v>
      </c>
    </row>
    <row r="362" spans="1:19" x14ac:dyDescent="0.25">
      <c r="A362">
        <v>361</v>
      </c>
      <c r="B362" s="2">
        <v>43963</v>
      </c>
      <c r="C362">
        <v>2020</v>
      </c>
      <c r="D362" t="s">
        <v>19</v>
      </c>
      <c r="E362" s="2">
        <v>43971</v>
      </c>
      <c r="F362">
        <v>8</v>
      </c>
      <c r="G362" t="s">
        <v>34</v>
      </c>
      <c r="H362" t="s">
        <v>244</v>
      </c>
      <c r="I362" t="s">
        <v>325</v>
      </c>
      <c r="J362" t="s">
        <v>326</v>
      </c>
      <c r="K362" t="s">
        <v>331</v>
      </c>
      <c r="L362" t="s">
        <v>340</v>
      </c>
      <c r="M362" t="s">
        <v>347</v>
      </c>
      <c r="N362" t="s">
        <v>352</v>
      </c>
      <c r="O362" t="s">
        <v>357</v>
      </c>
      <c r="P362" t="s">
        <v>362</v>
      </c>
      <c r="Q362">
        <v>299.69</v>
      </c>
      <c r="R362">
        <v>1</v>
      </c>
      <c r="S362">
        <v>120.86</v>
      </c>
    </row>
    <row r="363" spans="1:19" x14ac:dyDescent="0.25">
      <c r="A363">
        <v>362</v>
      </c>
      <c r="B363" s="2">
        <v>44048</v>
      </c>
      <c r="C363">
        <v>2020</v>
      </c>
      <c r="D363" t="s">
        <v>27</v>
      </c>
      <c r="E363" s="2">
        <v>44051</v>
      </c>
      <c r="F363">
        <v>3</v>
      </c>
      <c r="G363" t="s">
        <v>32</v>
      </c>
      <c r="H363" t="s">
        <v>156</v>
      </c>
      <c r="I363" t="s">
        <v>323</v>
      </c>
      <c r="J363" t="s">
        <v>327</v>
      </c>
      <c r="K363" t="s">
        <v>337</v>
      </c>
      <c r="L363" t="s">
        <v>344</v>
      </c>
      <c r="M363" t="s">
        <v>347</v>
      </c>
      <c r="N363" t="s">
        <v>352</v>
      </c>
      <c r="O363" t="s">
        <v>358</v>
      </c>
      <c r="P363" t="s">
        <v>362</v>
      </c>
      <c r="Q363">
        <v>379.4</v>
      </c>
      <c r="R363">
        <v>1</v>
      </c>
      <c r="S363">
        <v>-92.86</v>
      </c>
    </row>
    <row r="364" spans="1:19" x14ac:dyDescent="0.25">
      <c r="A364">
        <v>363</v>
      </c>
      <c r="B364" s="2">
        <v>45820</v>
      </c>
      <c r="C364">
        <v>2025</v>
      </c>
      <c r="D364" t="s">
        <v>21</v>
      </c>
      <c r="E364" s="2">
        <v>45824</v>
      </c>
      <c r="F364">
        <v>4</v>
      </c>
      <c r="G364" t="s">
        <v>34</v>
      </c>
      <c r="H364" t="s">
        <v>78</v>
      </c>
      <c r="I364" t="s">
        <v>323</v>
      </c>
      <c r="J364" t="s">
        <v>327</v>
      </c>
      <c r="K364" t="s">
        <v>330</v>
      </c>
      <c r="L364" t="s">
        <v>339</v>
      </c>
      <c r="M364" t="s">
        <v>346</v>
      </c>
      <c r="N364" t="s">
        <v>351</v>
      </c>
      <c r="O364" t="s">
        <v>355</v>
      </c>
      <c r="P364" t="s">
        <v>361</v>
      </c>
      <c r="Q364">
        <v>186.75</v>
      </c>
      <c r="R364">
        <v>6</v>
      </c>
      <c r="S364">
        <v>-47.64</v>
      </c>
    </row>
    <row r="365" spans="1:19" x14ac:dyDescent="0.25">
      <c r="A365">
        <v>364</v>
      </c>
      <c r="B365" s="2">
        <v>44326</v>
      </c>
      <c r="C365">
        <v>2021</v>
      </c>
      <c r="D365" t="s">
        <v>19</v>
      </c>
      <c r="E365" s="2">
        <v>44330</v>
      </c>
      <c r="F365">
        <v>4</v>
      </c>
      <c r="G365" t="s">
        <v>32</v>
      </c>
      <c r="H365" t="s">
        <v>114</v>
      </c>
      <c r="I365" t="s">
        <v>325</v>
      </c>
      <c r="J365" t="s">
        <v>327</v>
      </c>
      <c r="K365" t="s">
        <v>334</v>
      </c>
      <c r="L365" t="s">
        <v>334</v>
      </c>
      <c r="M365" t="s">
        <v>349</v>
      </c>
      <c r="N365" t="s">
        <v>352</v>
      </c>
      <c r="O365" t="s">
        <v>358</v>
      </c>
      <c r="P365" t="s">
        <v>362</v>
      </c>
      <c r="Q365">
        <v>59.17</v>
      </c>
      <c r="R365">
        <v>9</v>
      </c>
      <c r="S365">
        <v>16.91</v>
      </c>
    </row>
    <row r="366" spans="1:19" x14ac:dyDescent="0.25">
      <c r="A366">
        <v>365</v>
      </c>
      <c r="B366" s="2">
        <v>44620</v>
      </c>
      <c r="C366">
        <v>2022</v>
      </c>
      <c r="D366" t="s">
        <v>28</v>
      </c>
      <c r="E366" s="2">
        <v>44621</v>
      </c>
      <c r="F366">
        <v>1</v>
      </c>
      <c r="G366" t="s">
        <v>31</v>
      </c>
      <c r="H366" t="s">
        <v>75</v>
      </c>
      <c r="I366" t="s">
        <v>323</v>
      </c>
      <c r="J366" t="s">
        <v>326</v>
      </c>
      <c r="K366" t="s">
        <v>329</v>
      </c>
      <c r="L366" t="s">
        <v>338</v>
      </c>
      <c r="M366" t="s">
        <v>345</v>
      </c>
      <c r="N366" t="s">
        <v>352</v>
      </c>
      <c r="O366" t="s">
        <v>358</v>
      </c>
      <c r="P366" t="s">
        <v>361</v>
      </c>
      <c r="Q366">
        <v>201.64</v>
      </c>
      <c r="R366">
        <v>5</v>
      </c>
      <c r="S366">
        <v>-23.06</v>
      </c>
    </row>
    <row r="367" spans="1:19" x14ac:dyDescent="0.25">
      <c r="A367">
        <v>366</v>
      </c>
      <c r="B367" s="2">
        <v>45277</v>
      </c>
      <c r="C367">
        <v>2023</v>
      </c>
      <c r="D367" t="s">
        <v>29</v>
      </c>
      <c r="E367" s="2">
        <v>45287</v>
      </c>
      <c r="F367">
        <v>10</v>
      </c>
      <c r="G367" t="s">
        <v>34</v>
      </c>
      <c r="H367" t="s">
        <v>245</v>
      </c>
      <c r="I367" t="s">
        <v>323</v>
      </c>
      <c r="J367" t="s">
        <v>327</v>
      </c>
      <c r="K367" t="s">
        <v>330</v>
      </c>
      <c r="L367" t="s">
        <v>339</v>
      </c>
      <c r="M367" t="s">
        <v>346</v>
      </c>
      <c r="N367" t="s">
        <v>352</v>
      </c>
      <c r="O367" t="s">
        <v>357</v>
      </c>
      <c r="P367" t="s">
        <v>361</v>
      </c>
      <c r="Q367">
        <v>273.66000000000003</v>
      </c>
      <c r="R367">
        <v>9</v>
      </c>
      <c r="S367">
        <v>54.84</v>
      </c>
    </row>
    <row r="368" spans="1:19" x14ac:dyDescent="0.25">
      <c r="A368">
        <v>367</v>
      </c>
      <c r="B368" s="2">
        <v>45579</v>
      </c>
      <c r="C368">
        <v>2024</v>
      </c>
      <c r="D368" t="s">
        <v>22</v>
      </c>
      <c r="E368" s="2">
        <v>45585</v>
      </c>
      <c r="F368">
        <v>6</v>
      </c>
      <c r="G368" t="s">
        <v>34</v>
      </c>
      <c r="H368" t="s">
        <v>222</v>
      </c>
      <c r="I368" t="s">
        <v>324</v>
      </c>
      <c r="J368" t="s">
        <v>328</v>
      </c>
      <c r="K368" t="s">
        <v>332</v>
      </c>
      <c r="L368" t="s">
        <v>341</v>
      </c>
      <c r="M368" t="s">
        <v>348</v>
      </c>
      <c r="N368" t="s">
        <v>351</v>
      </c>
      <c r="O368" t="s">
        <v>356</v>
      </c>
      <c r="P368" t="s">
        <v>361</v>
      </c>
      <c r="Q368">
        <v>423.98</v>
      </c>
      <c r="R368">
        <v>6</v>
      </c>
      <c r="S368">
        <v>90.65</v>
      </c>
    </row>
    <row r="369" spans="1:19" x14ac:dyDescent="0.25">
      <c r="A369">
        <v>368</v>
      </c>
      <c r="B369" s="2">
        <v>44176</v>
      </c>
      <c r="C369">
        <v>2020</v>
      </c>
      <c r="D369" t="s">
        <v>29</v>
      </c>
      <c r="E369" s="2">
        <v>44184</v>
      </c>
      <c r="F369">
        <v>8</v>
      </c>
      <c r="G369" t="s">
        <v>31</v>
      </c>
      <c r="H369" t="s">
        <v>246</v>
      </c>
      <c r="I369" t="s">
        <v>323</v>
      </c>
      <c r="J369" t="s">
        <v>328</v>
      </c>
      <c r="K369" t="s">
        <v>332</v>
      </c>
      <c r="L369" t="s">
        <v>341</v>
      </c>
      <c r="M369" t="s">
        <v>348</v>
      </c>
      <c r="N369" t="s">
        <v>352</v>
      </c>
      <c r="O369" t="s">
        <v>357</v>
      </c>
      <c r="P369" t="s">
        <v>361</v>
      </c>
      <c r="Q369">
        <v>268.77999999999997</v>
      </c>
      <c r="R369">
        <v>4</v>
      </c>
      <c r="S369">
        <v>131.88</v>
      </c>
    </row>
    <row r="370" spans="1:19" x14ac:dyDescent="0.25">
      <c r="A370">
        <v>369</v>
      </c>
      <c r="B370" s="2">
        <v>44505</v>
      </c>
      <c r="C370">
        <v>2021</v>
      </c>
      <c r="D370" t="s">
        <v>30</v>
      </c>
      <c r="E370" s="2">
        <v>44508</v>
      </c>
      <c r="F370">
        <v>3</v>
      </c>
      <c r="G370" t="s">
        <v>34</v>
      </c>
      <c r="H370" t="s">
        <v>247</v>
      </c>
      <c r="I370" t="s">
        <v>323</v>
      </c>
      <c r="J370" t="s">
        <v>328</v>
      </c>
      <c r="K370" t="s">
        <v>332</v>
      </c>
      <c r="L370" t="s">
        <v>341</v>
      </c>
      <c r="M370" t="s">
        <v>348</v>
      </c>
      <c r="N370" t="s">
        <v>350</v>
      </c>
      <c r="O370" t="s">
        <v>354</v>
      </c>
      <c r="P370" t="s">
        <v>362</v>
      </c>
      <c r="Q370">
        <v>93.22</v>
      </c>
      <c r="R370">
        <v>2</v>
      </c>
      <c r="S370">
        <v>37.630000000000003</v>
      </c>
    </row>
    <row r="371" spans="1:19" x14ac:dyDescent="0.25">
      <c r="A371">
        <v>370</v>
      </c>
      <c r="B371" s="2">
        <v>45560</v>
      </c>
      <c r="C371">
        <v>2024</v>
      </c>
      <c r="D371" t="s">
        <v>25</v>
      </c>
      <c r="E371" s="2">
        <v>45565</v>
      </c>
      <c r="F371">
        <v>5</v>
      </c>
      <c r="G371" t="s">
        <v>33</v>
      </c>
      <c r="H371" t="s">
        <v>53</v>
      </c>
      <c r="I371" t="s">
        <v>323</v>
      </c>
      <c r="J371" t="s">
        <v>327</v>
      </c>
      <c r="K371" t="s">
        <v>334</v>
      </c>
      <c r="L371" t="s">
        <v>334</v>
      </c>
      <c r="M371" t="s">
        <v>349</v>
      </c>
      <c r="N371" t="s">
        <v>351</v>
      </c>
      <c r="O371" t="s">
        <v>355</v>
      </c>
      <c r="P371" t="s">
        <v>360</v>
      </c>
      <c r="Q371">
        <v>440.05</v>
      </c>
      <c r="R371">
        <v>7</v>
      </c>
      <c r="S371">
        <v>-38.99</v>
      </c>
    </row>
    <row r="372" spans="1:19" x14ac:dyDescent="0.25">
      <c r="A372">
        <v>371</v>
      </c>
      <c r="B372" s="2">
        <v>44080</v>
      </c>
      <c r="C372">
        <v>2020</v>
      </c>
      <c r="D372" t="s">
        <v>25</v>
      </c>
      <c r="E372" s="2">
        <v>44087</v>
      </c>
      <c r="F372">
        <v>7</v>
      </c>
      <c r="G372" t="s">
        <v>34</v>
      </c>
      <c r="H372" t="s">
        <v>153</v>
      </c>
      <c r="I372" t="s">
        <v>324</v>
      </c>
      <c r="J372" t="s">
        <v>328</v>
      </c>
      <c r="K372" t="s">
        <v>335</v>
      </c>
      <c r="L372" t="s">
        <v>335</v>
      </c>
      <c r="M372" t="s">
        <v>345</v>
      </c>
      <c r="N372" t="s">
        <v>351</v>
      </c>
      <c r="O372" t="s">
        <v>355</v>
      </c>
      <c r="P372" t="s">
        <v>362</v>
      </c>
      <c r="Q372">
        <v>92.38</v>
      </c>
      <c r="R372">
        <v>8</v>
      </c>
      <c r="S372">
        <v>9.31</v>
      </c>
    </row>
    <row r="373" spans="1:19" x14ac:dyDescent="0.25">
      <c r="A373">
        <v>372</v>
      </c>
      <c r="B373" s="2">
        <v>45214</v>
      </c>
      <c r="C373">
        <v>2023</v>
      </c>
      <c r="D373" t="s">
        <v>22</v>
      </c>
      <c r="E373" s="2">
        <v>45221</v>
      </c>
      <c r="F373">
        <v>7</v>
      </c>
      <c r="G373" t="s">
        <v>31</v>
      </c>
      <c r="H373" t="s">
        <v>240</v>
      </c>
      <c r="I373" t="s">
        <v>323</v>
      </c>
      <c r="J373" t="s">
        <v>328</v>
      </c>
      <c r="K373" t="s">
        <v>332</v>
      </c>
      <c r="L373" t="s">
        <v>341</v>
      </c>
      <c r="M373" t="s">
        <v>348</v>
      </c>
      <c r="N373" t="s">
        <v>351</v>
      </c>
      <c r="O373" t="s">
        <v>356</v>
      </c>
      <c r="P373" t="s">
        <v>362</v>
      </c>
      <c r="Q373">
        <v>363.67</v>
      </c>
      <c r="R373">
        <v>6</v>
      </c>
      <c r="S373">
        <v>124.9</v>
      </c>
    </row>
    <row r="374" spans="1:19" x14ac:dyDescent="0.25">
      <c r="A374">
        <v>373</v>
      </c>
      <c r="B374" s="2">
        <v>45687</v>
      </c>
      <c r="C374">
        <v>2025</v>
      </c>
      <c r="D374" t="s">
        <v>23</v>
      </c>
      <c r="E374" s="2">
        <v>45697</v>
      </c>
      <c r="F374">
        <v>10</v>
      </c>
      <c r="G374" t="s">
        <v>33</v>
      </c>
      <c r="H374" t="s">
        <v>93</v>
      </c>
      <c r="I374" t="s">
        <v>324</v>
      </c>
      <c r="J374" t="s">
        <v>327</v>
      </c>
      <c r="K374" t="s">
        <v>330</v>
      </c>
      <c r="L374" t="s">
        <v>339</v>
      </c>
      <c r="M374" t="s">
        <v>346</v>
      </c>
      <c r="N374" t="s">
        <v>350</v>
      </c>
      <c r="O374" t="s">
        <v>354</v>
      </c>
      <c r="P374" t="s">
        <v>362</v>
      </c>
      <c r="Q374">
        <v>35.82</v>
      </c>
      <c r="R374">
        <v>10</v>
      </c>
      <c r="S374">
        <v>-8.92</v>
      </c>
    </row>
    <row r="375" spans="1:19" x14ac:dyDescent="0.25">
      <c r="A375">
        <v>374</v>
      </c>
      <c r="B375" s="2">
        <v>44009</v>
      </c>
      <c r="C375">
        <v>2020</v>
      </c>
      <c r="D375" t="s">
        <v>21</v>
      </c>
      <c r="E375" s="2">
        <v>44019</v>
      </c>
      <c r="F375">
        <v>10</v>
      </c>
      <c r="G375" t="s">
        <v>32</v>
      </c>
      <c r="H375" t="s">
        <v>248</v>
      </c>
      <c r="I375" t="s">
        <v>323</v>
      </c>
      <c r="J375" t="s">
        <v>327</v>
      </c>
      <c r="K375" t="s">
        <v>334</v>
      </c>
      <c r="L375" t="s">
        <v>334</v>
      </c>
      <c r="M375" t="s">
        <v>349</v>
      </c>
      <c r="N375" t="s">
        <v>350</v>
      </c>
      <c r="O375" t="s">
        <v>353</v>
      </c>
      <c r="P375" t="s">
        <v>362</v>
      </c>
      <c r="Q375">
        <v>365.25</v>
      </c>
      <c r="R375">
        <v>10</v>
      </c>
      <c r="S375">
        <v>29.73</v>
      </c>
    </row>
    <row r="376" spans="1:19" x14ac:dyDescent="0.25">
      <c r="A376">
        <v>375</v>
      </c>
      <c r="B376" s="2">
        <v>44002</v>
      </c>
      <c r="C376">
        <v>2020</v>
      </c>
      <c r="D376" t="s">
        <v>21</v>
      </c>
      <c r="E376" s="2">
        <v>44008</v>
      </c>
      <c r="F376">
        <v>6</v>
      </c>
      <c r="G376" t="s">
        <v>31</v>
      </c>
      <c r="H376" t="s">
        <v>226</v>
      </c>
      <c r="I376" t="s">
        <v>324</v>
      </c>
      <c r="J376" t="s">
        <v>327</v>
      </c>
      <c r="K376" t="s">
        <v>337</v>
      </c>
      <c r="L376" t="s">
        <v>344</v>
      </c>
      <c r="M376" t="s">
        <v>347</v>
      </c>
      <c r="N376" t="s">
        <v>351</v>
      </c>
      <c r="O376" t="s">
        <v>356</v>
      </c>
      <c r="P376" t="s">
        <v>362</v>
      </c>
      <c r="Q376">
        <v>491.53</v>
      </c>
      <c r="R376">
        <v>3</v>
      </c>
      <c r="S376">
        <v>-31.9</v>
      </c>
    </row>
    <row r="377" spans="1:19" x14ac:dyDescent="0.25">
      <c r="A377">
        <v>376</v>
      </c>
      <c r="B377" s="2">
        <v>45362</v>
      </c>
      <c r="C377">
        <v>2024</v>
      </c>
      <c r="D377" t="s">
        <v>24</v>
      </c>
      <c r="E377" s="2">
        <v>45371</v>
      </c>
      <c r="F377">
        <v>9</v>
      </c>
      <c r="G377" t="s">
        <v>31</v>
      </c>
      <c r="H377" t="s">
        <v>231</v>
      </c>
      <c r="I377" t="s">
        <v>323</v>
      </c>
      <c r="J377" t="s">
        <v>328</v>
      </c>
      <c r="K377" t="s">
        <v>332</v>
      </c>
      <c r="L377" t="s">
        <v>341</v>
      </c>
      <c r="M377" t="s">
        <v>348</v>
      </c>
      <c r="N377" t="s">
        <v>352</v>
      </c>
      <c r="O377" t="s">
        <v>357</v>
      </c>
      <c r="P377" t="s">
        <v>361</v>
      </c>
      <c r="Q377">
        <v>388.75</v>
      </c>
      <c r="R377">
        <v>2</v>
      </c>
      <c r="S377">
        <v>56.88</v>
      </c>
    </row>
    <row r="378" spans="1:19" x14ac:dyDescent="0.25">
      <c r="A378">
        <v>377</v>
      </c>
      <c r="B378" s="2">
        <v>45441</v>
      </c>
      <c r="C378">
        <v>2024</v>
      </c>
      <c r="D378" t="s">
        <v>19</v>
      </c>
      <c r="E378" s="2">
        <v>45448</v>
      </c>
      <c r="F378">
        <v>7</v>
      </c>
      <c r="G378" t="s">
        <v>32</v>
      </c>
      <c r="H378" t="s">
        <v>49</v>
      </c>
      <c r="I378" t="s">
        <v>325</v>
      </c>
      <c r="J378" t="s">
        <v>328</v>
      </c>
      <c r="K378" t="s">
        <v>335</v>
      </c>
      <c r="L378" t="s">
        <v>335</v>
      </c>
      <c r="M378" t="s">
        <v>345</v>
      </c>
      <c r="N378" t="s">
        <v>352</v>
      </c>
      <c r="O378" t="s">
        <v>358</v>
      </c>
      <c r="P378" t="s">
        <v>359</v>
      </c>
      <c r="Q378">
        <v>363.25</v>
      </c>
      <c r="R378">
        <v>1</v>
      </c>
      <c r="S378">
        <v>-72.37</v>
      </c>
    </row>
    <row r="379" spans="1:19" x14ac:dyDescent="0.25">
      <c r="A379">
        <v>378</v>
      </c>
      <c r="B379" s="2">
        <v>45636</v>
      </c>
      <c r="C379">
        <v>2024</v>
      </c>
      <c r="D379" t="s">
        <v>29</v>
      </c>
      <c r="E379" s="2">
        <v>45637</v>
      </c>
      <c r="F379">
        <v>1</v>
      </c>
      <c r="G379" t="s">
        <v>31</v>
      </c>
      <c r="H379" t="s">
        <v>87</v>
      </c>
      <c r="I379" t="s">
        <v>325</v>
      </c>
      <c r="J379" t="s">
        <v>326</v>
      </c>
      <c r="K379" t="s">
        <v>329</v>
      </c>
      <c r="L379" t="s">
        <v>338</v>
      </c>
      <c r="M379" t="s">
        <v>345</v>
      </c>
      <c r="N379" t="s">
        <v>351</v>
      </c>
      <c r="O379" t="s">
        <v>355</v>
      </c>
      <c r="P379" t="s">
        <v>359</v>
      </c>
      <c r="Q379">
        <v>286.75</v>
      </c>
      <c r="R379">
        <v>7</v>
      </c>
      <c r="S379">
        <v>114.12</v>
      </c>
    </row>
    <row r="380" spans="1:19" x14ac:dyDescent="0.25">
      <c r="A380">
        <v>379</v>
      </c>
      <c r="B380" s="2">
        <v>44603</v>
      </c>
      <c r="C380">
        <v>2022</v>
      </c>
      <c r="D380" t="s">
        <v>28</v>
      </c>
      <c r="E380" s="2">
        <v>44613</v>
      </c>
      <c r="F380">
        <v>10</v>
      </c>
      <c r="G380" t="s">
        <v>32</v>
      </c>
      <c r="H380" t="s">
        <v>48</v>
      </c>
      <c r="I380" t="s">
        <v>323</v>
      </c>
      <c r="J380" t="s">
        <v>326</v>
      </c>
      <c r="K380" t="s">
        <v>333</v>
      </c>
      <c r="L380" t="s">
        <v>342</v>
      </c>
      <c r="M380" t="s">
        <v>345</v>
      </c>
      <c r="N380" t="s">
        <v>351</v>
      </c>
      <c r="O380" t="s">
        <v>356</v>
      </c>
      <c r="P380" t="s">
        <v>359</v>
      </c>
      <c r="Q380">
        <v>268.07</v>
      </c>
      <c r="R380">
        <v>9</v>
      </c>
      <c r="S380">
        <v>54.93</v>
      </c>
    </row>
    <row r="381" spans="1:19" x14ac:dyDescent="0.25">
      <c r="A381">
        <v>380</v>
      </c>
      <c r="B381" s="2">
        <v>43987</v>
      </c>
      <c r="C381">
        <v>2020</v>
      </c>
      <c r="D381" t="s">
        <v>21</v>
      </c>
      <c r="E381" s="2">
        <v>43996</v>
      </c>
      <c r="F381">
        <v>9</v>
      </c>
      <c r="G381" t="s">
        <v>34</v>
      </c>
      <c r="H381" t="s">
        <v>208</v>
      </c>
      <c r="I381" t="s">
        <v>324</v>
      </c>
      <c r="J381" t="s">
        <v>328</v>
      </c>
      <c r="K381" t="s">
        <v>335</v>
      </c>
      <c r="L381" t="s">
        <v>335</v>
      </c>
      <c r="M381" t="s">
        <v>345</v>
      </c>
      <c r="N381" t="s">
        <v>351</v>
      </c>
      <c r="O381" t="s">
        <v>355</v>
      </c>
      <c r="P381" t="s">
        <v>359</v>
      </c>
      <c r="Q381">
        <v>158.16999999999999</v>
      </c>
      <c r="R381">
        <v>8</v>
      </c>
      <c r="S381">
        <v>55.59</v>
      </c>
    </row>
    <row r="382" spans="1:19" x14ac:dyDescent="0.25">
      <c r="A382">
        <v>381</v>
      </c>
      <c r="B382" s="2">
        <v>45519</v>
      </c>
      <c r="C382">
        <v>2024</v>
      </c>
      <c r="D382" t="s">
        <v>27</v>
      </c>
      <c r="E382" s="2">
        <v>45528</v>
      </c>
      <c r="F382">
        <v>9</v>
      </c>
      <c r="G382" t="s">
        <v>31</v>
      </c>
      <c r="H382" t="s">
        <v>99</v>
      </c>
      <c r="I382" t="s">
        <v>325</v>
      </c>
      <c r="J382" t="s">
        <v>326</v>
      </c>
      <c r="K382" t="s">
        <v>331</v>
      </c>
      <c r="L382" t="s">
        <v>340</v>
      </c>
      <c r="M382" t="s">
        <v>347</v>
      </c>
      <c r="N382" t="s">
        <v>351</v>
      </c>
      <c r="O382" t="s">
        <v>356</v>
      </c>
      <c r="P382" t="s">
        <v>360</v>
      </c>
      <c r="Q382">
        <v>399.18</v>
      </c>
      <c r="R382">
        <v>7</v>
      </c>
      <c r="S382">
        <v>60.13</v>
      </c>
    </row>
    <row r="383" spans="1:19" x14ac:dyDescent="0.25">
      <c r="A383">
        <v>382</v>
      </c>
      <c r="B383" s="2">
        <v>45455</v>
      </c>
      <c r="C383">
        <v>2024</v>
      </c>
      <c r="D383" t="s">
        <v>21</v>
      </c>
      <c r="E383" s="2">
        <v>45458</v>
      </c>
      <c r="F383">
        <v>3</v>
      </c>
      <c r="G383" t="s">
        <v>31</v>
      </c>
      <c r="H383" t="s">
        <v>189</v>
      </c>
      <c r="I383" t="s">
        <v>324</v>
      </c>
      <c r="J383" t="s">
        <v>326</v>
      </c>
      <c r="K383" t="s">
        <v>331</v>
      </c>
      <c r="L383" t="s">
        <v>340</v>
      </c>
      <c r="M383" t="s">
        <v>347</v>
      </c>
      <c r="N383" t="s">
        <v>350</v>
      </c>
      <c r="O383" t="s">
        <v>353</v>
      </c>
      <c r="P383" t="s">
        <v>361</v>
      </c>
      <c r="Q383">
        <v>57.76</v>
      </c>
      <c r="R383">
        <v>6</v>
      </c>
      <c r="S383">
        <v>-15.91</v>
      </c>
    </row>
    <row r="384" spans="1:19" x14ac:dyDescent="0.25">
      <c r="A384">
        <v>383</v>
      </c>
      <c r="B384" s="2">
        <v>44352</v>
      </c>
      <c r="C384">
        <v>2021</v>
      </c>
      <c r="D384" t="s">
        <v>21</v>
      </c>
      <c r="E384" s="2">
        <v>44354</v>
      </c>
      <c r="F384">
        <v>2</v>
      </c>
      <c r="G384" t="s">
        <v>32</v>
      </c>
      <c r="H384" t="s">
        <v>219</v>
      </c>
      <c r="I384" t="s">
        <v>323</v>
      </c>
      <c r="J384" t="s">
        <v>327</v>
      </c>
      <c r="K384" t="s">
        <v>334</v>
      </c>
      <c r="L384" t="s">
        <v>334</v>
      </c>
      <c r="M384" t="s">
        <v>349</v>
      </c>
      <c r="N384" t="s">
        <v>350</v>
      </c>
      <c r="O384" t="s">
        <v>353</v>
      </c>
      <c r="P384" t="s">
        <v>360</v>
      </c>
      <c r="Q384">
        <v>334.34</v>
      </c>
      <c r="R384">
        <v>5</v>
      </c>
      <c r="S384">
        <v>-94.08</v>
      </c>
    </row>
    <row r="385" spans="1:19" x14ac:dyDescent="0.25">
      <c r="A385">
        <v>384</v>
      </c>
      <c r="B385" s="2">
        <v>44317</v>
      </c>
      <c r="C385">
        <v>2021</v>
      </c>
      <c r="D385" t="s">
        <v>19</v>
      </c>
      <c r="E385" s="2">
        <v>44327</v>
      </c>
      <c r="F385">
        <v>10</v>
      </c>
      <c r="G385" t="s">
        <v>34</v>
      </c>
      <c r="H385" t="s">
        <v>178</v>
      </c>
      <c r="I385" t="s">
        <v>323</v>
      </c>
      <c r="J385" t="s">
        <v>327</v>
      </c>
      <c r="K385" t="s">
        <v>334</v>
      </c>
      <c r="L385" t="s">
        <v>334</v>
      </c>
      <c r="M385" t="s">
        <v>349</v>
      </c>
      <c r="N385" t="s">
        <v>351</v>
      </c>
      <c r="O385" t="s">
        <v>355</v>
      </c>
      <c r="P385" t="s">
        <v>360</v>
      </c>
      <c r="Q385">
        <v>191.13</v>
      </c>
      <c r="R385">
        <v>9</v>
      </c>
      <c r="S385">
        <v>-27.88</v>
      </c>
    </row>
    <row r="386" spans="1:19" x14ac:dyDescent="0.25">
      <c r="A386">
        <v>385</v>
      </c>
      <c r="B386" s="2">
        <v>45160</v>
      </c>
      <c r="C386">
        <v>2023</v>
      </c>
      <c r="D386" t="s">
        <v>27</v>
      </c>
      <c r="E386" s="2">
        <v>45170</v>
      </c>
      <c r="F386">
        <v>10</v>
      </c>
      <c r="G386" t="s">
        <v>31</v>
      </c>
      <c r="H386" t="s">
        <v>249</v>
      </c>
      <c r="I386" t="s">
        <v>324</v>
      </c>
      <c r="J386" t="s">
        <v>328</v>
      </c>
      <c r="K386" t="s">
        <v>336</v>
      </c>
      <c r="L386" t="s">
        <v>343</v>
      </c>
      <c r="M386" t="s">
        <v>347</v>
      </c>
      <c r="N386" t="s">
        <v>351</v>
      </c>
      <c r="O386" t="s">
        <v>356</v>
      </c>
      <c r="P386" t="s">
        <v>359</v>
      </c>
      <c r="Q386">
        <v>313.42</v>
      </c>
      <c r="R386">
        <v>9</v>
      </c>
      <c r="S386">
        <v>-31.17</v>
      </c>
    </row>
    <row r="387" spans="1:19" x14ac:dyDescent="0.25">
      <c r="A387">
        <v>386</v>
      </c>
      <c r="B387" s="2">
        <v>44656</v>
      </c>
      <c r="C387">
        <v>2022</v>
      </c>
      <c r="D387" t="s">
        <v>26</v>
      </c>
      <c r="E387" s="2">
        <v>44660</v>
      </c>
      <c r="F387">
        <v>4</v>
      </c>
      <c r="G387" t="s">
        <v>33</v>
      </c>
      <c r="H387" t="s">
        <v>250</v>
      </c>
      <c r="I387" t="s">
        <v>325</v>
      </c>
      <c r="J387" t="s">
        <v>328</v>
      </c>
      <c r="K387" t="s">
        <v>332</v>
      </c>
      <c r="L387" t="s">
        <v>341</v>
      </c>
      <c r="M387" t="s">
        <v>348</v>
      </c>
      <c r="N387" t="s">
        <v>350</v>
      </c>
      <c r="O387" t="s">
        <v>353</v>
      </c>
      <c r="P387" t="s">
        <v>361</v>
      </c>
      <c r="Q387">
        <v>111.27</v>
      </c>
      <c r="R387">
        <v>7</v>
      </c>
      <c r="S387">
        <v>-25.49</v>
      </c>
    </row>
    <row r="388" spans="1:19" x14ac:dyDescent="0.25">
      <c r="A388">
        <v>387</v>
      </c>
      <c r="B388" s="2">
        <v>45934</v>
      </c>
      <c r="C388">
        <v>2025</v>
      </c>
      <c r="D388" t="s">
        <v>22</v>
      </c>
      <c r="E388" s="2">
        <v>45942</v>
      </c>
      <c r="F388">
        <v>8</v>
      </c>
      <c r="G388" t="s">
        <v>32</v>
      </c>
      <c r="H388" t="s">
        <v>80</v>
      </c>
      <c r="I388" t="s">
        <v>324</v>
      </c>
      <c r="J388" t="s">
        <v>326</v>
      </c>
      <c r="K388" t="s">
        <v>329</v>
      </c>
      <c r="L388" t="s">
        <v>338</v>
      </c>
      <c r="M388" t="s">
        <v>345</v>
      </c>
      <c r="N388" t="s">
        <v>351</v>
      </c>
      <c r="O388" t="s">
        <v>355</v>
      </c>
      <c r="P388" t="s">
        <v>361</v>
      </c>
      <c r="Q388">
        <v>467.8</v>
      </c>
      <c r="R388">
        <v>10</v>
      </c>
      <c r="S388">
        <v>-24.85</v>
      </c>
    </row>
    <row r="389" spans="1:19" x14ac:dyDescent="0.25">
      <c r="A389">
        <v>388</v>
      </c>
      <c r="B389" s="2">
        <v>45880</v>
      </c>
      <c r="C389">
        <v>2025</v>
      </c>
      <c r="D389" t="s">
        <v>27</v>
      </c>
      <c r="E389" s="2">
        <v>45885</v>
      </c>
      <c r="F389">
        <v>5</v>
      </c>
      <c r="G389" t="s">
        <v>33</v>
      </c>
      <c r="H389" t="s">
        <v>206</v>
      </c>
      <c r="I389" t="s">
        <v>324</v>
      </c>
      <c r="J389" t="s">
        <v>328</v>
      </c>
      <c r="K389" t="s">
        <v>335</v>
      </c>
      <c r="L389" t="s">
        <v>335</v>
      </c>
      <c r="M389" t="s">
        <v>345</v>
      </c>
      <c r="N389" t="s">
        <v>351</v>
      </c>
      <c r="O389" t="s">
        <v>356</v>
      </c>
      <c r="P389" t="s">
        <v>359</v>
      </c>
      <c r="Q389">
        <v>297.54000000000002</v>
      </c>
      <c r="R389">
        <v>9</v>
      </c>
      <c r="S389">
        <v>131.72999999999999</v>
      </c>
    </row>
    <row r="390" spans="1:19" x14ac:dyDescent="0.25">
      <c r="A390">
        <v>389</v>
      </c>
      <c r="B390" s="2">
        <v>45816</v>
      </c>
      <c r="C390">
        <v>2025</v>
      </c>
      <c r="D390" t="s">
        <v>21</v>
      </c>
      <c r="E390" s="2">
        <v>45825</v>
      </c>
      <c r="F390">
        <v>9</v>
      </c>
      <c r="G390" t="s">
        <v>32</v>
      </c>
      <c r="H390" t="s">
        <v>251</v>
      </c>
      <c r="I390" t="s">
        <v>324</v>
      </c>
      <c r="J390" t="s">
        <v>326</v>
      </c>
      <c r="K390" t="s">
        <v>331</v>
      </c>
      <c r="L390" t="s">
        <v>340</v>
      </c>
      <c r="M390" t="s">
        <v>347</v>
      </c>
      <c r="N390" t="s">
        <v>350</v>
      </c>
      <c r="O390" t="s">
        <v>353</v>
      </c>
      <c r="P390" t="s">
        <v>359</v>
      </c>
      <c r="Q390">
        <v>179.77</v>
      </c>
      <c r="R390">
        <v>3</v>
      </c>
      <c r="S390">
        <v>-48.59</v>
      </c>
    </row>
    <row r="391" spans="1:19" x14ac:dyDescent="0.25">
      <c r="A391">
        <v>390</v>
      </c>
      <c r="B391" s="2">
        <v>45391</v>
      </c>
      <c r="C391">
        <v>2024</v>
      </c>
      <c r="D391" t="s">
        <v>26</v>
      </c>
      <c r="E391" s="2">
        <v>45394</v>
      </c>
      <c r="F391">
        <v>3</v>
      </c>
      <c r="G391" t="s">
        <v>34</v>
      </c>
      <c r="H391" t="s">
        <v>252</v>
      </c>
      <c r="I391" t="s">
        <v>323</v>
      </c>
      <c r="J391" t="s">
        <v>327</v>
      </c>
      <c r="K391" t="s">
        <v>330</v>
      </c>
      <c r="L391" t="s">
        <v>339</v>
      </c>
      <c r="M391" t="s">
        <v>346</v>
      </c>
      <c r="N391" t="s">
        <v>352</v>
      </c>
      <c r="O391" t="s">
        <v>357</v>
      </c>
      <c r="P391" t="s">
        <v>362</v>
      </c>
      <c r="Q391">
        <v>160.4</v>
      </c>
      <c r="R391">
        <v>4</v>
      </c>
      <c r="S391">
        <v>15.31</v>
      </c>
    </row>
    <row r="392" spans="1:19" x14ac:dyDescent="0.25">
      <c r="A392">
        <v>391</v>
      </c>
      <c r="B392" s="2">
        <v>45813</v>
      </c>
      <c r="C392">
        <v>2025</v>
      </c>
      <c r="D392" t="s">
        <v>21</v>
      </c>
      <c r="E392" s="2">
        <v>45819</v>
      </c>
      <c r="F392">
        <v>6</v>
      </c>
      <c r="G392" t="s">
        <v>31</v>
      </c>
      <c r="H392" t="s">
        <v>253</v>
      </c>
      <c r="I392" t="s">
        <v>323</v>
      </c>
      <c r="J392" t="s">
        <v>326</v>
      </c>
      <c r="K392" t="s">
        <v>331</v>
      </c>
      <c r="L392" t="s">
        <v>340</v>
      </c>
      <c r="M392" t="s">
        <v>347</v>
      </c>
      <c r="N392" t="s">
        <v>350</v>
      </c>
      <c r="O392" t="s">
        <v>353</v>
      </c>
      <c r="P392" t="s">
        <v>361</v>
      </c>
      <c r="Q392">
        <v>167.4</v>
      </c>
      <c r="R392">
        <v>3</v>
      </c>
      <c r="S392">
        <v>66.599999999999994</v>
      </c>
    </row>
    <row r="393" spans="1:19" x14ac:dyDescent="0.25">
      <c r="A393">
        <v>392</v>
      </c>
      <c r="B393" s="2">
        <v>45269</v>
      </c>
      <c r="C393">
        <v>2023</v>
      </c>
      <c r="D393" t="s">
        <v>29</v>
      </c>
      <c r="E393" s="2">
        <v>45276</v>
      </c>
      <c r="F393">
        <v>7</v>
      </c>
      <c r="G393" t="s">
        <v>34</v>
      </c>
      <c r="H393" t="s">
        <v>61</v>
      </c>
      <c r="I393" t="s">
        <v>323</v>
      </c>
      <c r="J393" t="s">
        <v>327</v>
      </c>
      <c r="K393" t="s">
        <v>334</v>
      </c>
      <c r="L393" t="s">
        <v>334</v>
      </c>
      <c r="M393" t="s">
        <v>349</v>
      </c>
      <c r="N393" t="s">
        <v>350</v>
      </c>
      <c r="O393" t="s">
        <v>354</v>
      </c>
      <c r="P393" t="s">
        <v>362</v>
      </c>
      <c r="Q393">
        <v>446.46</v>
      </c>
      <c r="R393">
        <v>5</v>
      </c>
      <c r="S393">
        <v>134.35</v>
      </c>
    </row>
    <row r="394" spans="1:19" x14ac:dyDescent="0.25">
      <c r="A394">
        <v>393</v>
      </c>
      <c r="B394" s="2">
        <v>45449</v>
      </c>
      <c r="C394">
        <v>2024</v>
      </c>
      <c r="D394" t="s">
        <v>21</v>
      </c>
      <c r="E394" s="2">
        <v>45453</v>
      </c>
      <c r="F394">
        <v>4</v>
      </c>
      <c r="G394" t="s">
        <v>34</v>
      </c>
      <c r="H394" t="s">
        <v>67</v>
      </c>
      <c r="I394" t="s">
        <v>325</v>
      </c>
      <c r="J394" t="s">
        <v>326</v>
      </c>
      <c r="K394" t="s">
        <v>331</v>
      </c>
      <c r="L394" t="s">
        <v>340</v>
      </c>
      <c r="M394" t="s">
        <v>347</v>
      </c>
      <c r="N394" t="s">
        <v>352</v>
      </c>
      <c r="O394" t="s">
        <v>358</v>
      </c>
      <c r="P394" t="s">
        <v>359</v>
      </c>
      <c r="Q394">
        <v>36.520000000000003</v>
      </c>
      <c r="R394">
        <v>10</v>
      </c>
      <c r="S394">
        <v>-9.61</v>
      </c>
    </row>
    <row r="395" spans="1:19" x14ac:dyDescent="0.25">
      <c r="A395">
        <v>394</v>
      </c>
      <c r="B395" s="2">
        <v>45622</v>
      </c>
      <c r="C395">
        <v>2024</v>
      </c>
      <c r="D395" t="s">
        <v>30</v>
      </c>
      <c r="E395" s="2">
        <v>45631</v>
      </c>
      <c r="F395">
        <v>9</v>
      </c>
      <c r="G395" t="s">
        <v>34</v>
      </c>
      <c r="H395" t="s">
        <v>153</v>
      </c>
      <c r="I395" t="s">
        <v>325</v>
      </c>
      <c r="J395" t="s">
        <v>328</v>
      </c>
      <c r="K395" t="s">
        <v>335</v>
      </c>
      <c r="L395" t="s">
        <v>335</v>
      </c>
      <c r="M395" t="s">
        <v>345</v>
      </c>
      <c r="N395" t="s">
        <v>352</v>
      </c>
      <c r="O395" t="s">
        <v>358</v>
      </c>
      <c r="P395" t="s">
        <v>360</v>
      </c>
      <c r="Q395">
        <v>198.32</v>
      </c>
      <c r="R395">
        <v>10</v>
      </c>
      <c r="S395">
        <v>83.89</v>
      </c>
    </row>
    <row r="396" spans="1:19" x14ac:dyDescent="0.25">
      <c r="A396">
        <v>395</v>
      </c>
      <c r="B396" s="2">
        <v>45736</v>
      </c>
      <c r="C396">
        <v>2025</v>
      </c>
      <c r="D396" t="s">
        <v>24</v>
      </c>
      <c r="E396" s="2">
        <v>45737</v>
      </c>
      <c r="F396">
        <v>1</v>
      </c>
      <c r="G396" t="s">
        <v>33</v>
      </c>
      <c r="H396" t="s">
        <v>215</v>
      </c>
      <c r="I396" t="s">
        <v>325</v>
      </c>
      <c r="J396" t="s">
        <v>326</v>
      </c>
      <c r="K396" t="s">
        <v>329</v>
      </c>
      <c r="L396" t="s">
        <v>338</v>
      </c>
      <c r="M396" t="s">
        <v>345</v>
      </c>
      <c r="N396" t="s">
        <v>352</v>
      </c>
      <c r="O396" t="s">
        <v>358</v>
      </c>
      <c r="P396" t="s">
        <v>359</v>
      </c>
      <c r="Q396">
        <v>281.7</v>
      </c>
      <c r="R396">
        <v>3</v>
      </c>
      <c r="S396">
        <v>30.26</v>
      </c>
    </row>
    <row r="397" spans="1:19" x14ac:dyDescent="0.25">
      <c r="A397">
        <v>396</v>
      </c>
      <c r="B397" s="2">
        <v>44547</v>
      </c>
      <c r="C397">
        <v>2021</v>
      </c>
      <c r="D397" t="s">
        <v>29</v>
      </c>
      <c r="E397" s="2">
        <v>44556</v>
      </c>
      <c r="F397">
        <v>9</v>
      </c>
      <c r="G397" t="s">
        <v>32</v>
      </c>
      <c r="H397" t="s">
        <v>165</v>
      </c>
      <c r="I397" t="s">
        <v>325</v>
      </c>
      <c r="J397" t="s">
        <v>328</v>
      </c>
      <c r="K397" t="s">
        <v>336</v>
      </c>
      <c r="L397" t="s">
        <v>343</v>
      </c>
      <c r="M397" t="s">
        <v>347</v>
      </c>
      <c r="N397" t="s">
        <v>351</v>
      </c>
      <c r="O397" t="s">
        <v>355</v>
      </c>
      <c r="P397" t="s">
        <v>361</v>
      </c>
      <c r="Q397">
        <v>364.59</v>
      </c>
      <c r="R397">
        <v>9</v>
      </c>
      <c r="S397">
        <v>28.09</v>
      </c>
    </row>
    <row r="398" spans="1:19" x14ac:dyDescent="0.25">
      <c r="A398">
        <v>397</v>
      </c>
      <c r="B398" s="2">
        <v>44765</v>
      </c>
      <c r="C398">
        <v>2022</v>
      </c>
      <c r="D398" t="s">
        <v>20</v>
      </c>
      <c r="E398" s="2">
        <v>44773</v>
      </c>
      <c r="F398">
        <v>8</v>
      </c>
      <c r="G398" t="s">
        <v>31</v>
      </c>
      <c r="H398" t="s">
        <v>38</v>
      </c>
      <c r="I398" t="s">
        <v>323</v>
      </c>
      <c r="J398" t="s">
        <v>326</v>
      </c>
      <c r="K398" t="s">
        <v>331</v>
      </c>
      <c r="L398" t="s">
        <v>340</v>
      </c>
      <c r="M398" t="s">
        <v>347</v>
      </c>
      <c r="N398" t="s">
        <v>352</v>
      </c>
      <c r="O398" t="s">
        <v>358</v>
      </c>
      <c r="P398" t="s">
        <v>361</v>
      </c>
      <c r="Q398">
        <v>186.52</v>
      </c>
      <c r="R398">
        <v>7</v>
      </c>
      <c r="S398">
        <v>65</v>
      </c>
    </row>
    <row r="399" spans="1:19" x14ac:dyDescent="0.25">
      <c r="A399">
        <v>398</v>
      </c>
      <c r="B399" s="2">
        <v>45333</v>
      </c>
      <c r="C399">
        <v>2024</v>
      </c>
      <c r="D399" t="s">
        <v>28</v>
      </c>
      <c r="E399" s="2">
        <v>45339</v>
      </c>
      <c r="F399">
        <v>6</v>
      </c>
      <c r="G399" t="s">
        <v>32</v>
      </c>
      <c r="H399" t="s">
        <v>150</v>
      </c>
      <c r="I399" t="s">
        <v>324</v>
      </c>
      <c r="J399" t="s">
        <v>328</v>
      </c>
      <c r="K399" t="s">
        <v>335</v>
      </c>
      <c r="L399" t="s">
        <v>335</v>
      </c>
      <c r="M399" t="s">
        <v>345</v>
      </c>
      <c r="N399" t="s">
        <v>352</v>
      </c>
      <c r="O399" t="s">
        <v>358</v>
      </c>
      <c r="P399" t="s">
        <v>361</v>
      </c>
      <c r="Q399">
        <v>176.72</v>
      </c>
      <c r="R399">
        <v>5</v>
      </c>
      <c r="S399">
        <v>-50</v>
      </c>
    </row>
    <row r="400" spans="1:19" x14ac:dyDescent="0.25">
      <c r="A400">
        <v>399</v>
      </c>
      <c r="B400" s="2">
        <v>45664</v>
      </c>
      <c r="C400">
        <v>2025</v>
      </c>
      <c r="D400" t="s">
        <v>23</v>
      </c>
      <c r="E400" s="2">
        <v>45671</v>
      </c>
      <c r="F400">
        <v>7</v>
      </c>
      <c r="G400" t="s">
        <v>33</v>
      </c>
      <c r="H400" t="s">
        <v>254</v>
      </c>
      <c r="I400" t="s">
        <v>323</v>
      </c>
      <c r="J400" t="s">
        <v>327</v>
      </c>
      <c r="K400" t="s">
        <v>337</v>
      </c>
      <c r="L400" t="s">
        <v>344</v>
      </c>
      <c r="M400" t="s">
        <v>347</v>
      </c>
      <c r="N400" t="s">
        <v>351</v>
      </c>
      <c r="O400" t="s">
        <v>356</v>
      </c>
      <c r="P400" t="s">
        <v>359</v>
      </c>
      <c r="Q400">
        <v>407.21</v>
      </c>
      <c r="R400">
        <v>9</v>
      </c>
      <c r="S400">
        <v>-105.39</v>
      </c>
    </row>
    <row r="401" spans="1:19" x14ac:dyDescent="0.25">
      <c r="A401">
        <v>400</v>
      </c>
      <c r="B401" s="2">
        <v>45024</v>
      </c>
      <c r="C401">
        <v>2023</v>
      </c>
      <c r="D401" t="s">
        <v>26</v>
      </c>
      <c r="E401" s="2">
        <v>45034</v>
      </c>
      <c r="F401">
        <v>10</v>
      </c>
      <c r="G401" t="s">
        <v>31</v>
      </c>
      <c r="H401" t="s">
        <v>255</v>
      </c>
      <c r="I401" t="s">
        <v>325</v>
      </c>
      <c r="J401" t="s">
        <v>326</v>
      </c>
      <c r="K401" t="s">
        <v>331</v>
      </c>
      <c r="L401" t="s">
        <v>340</v>
      </c>
      <c r="M401" t="s">
        <v>347</v>
      </c>
      <c r="N401" t="s">
        <v>352</v>
      </c>
      <c r="O401" t="s">
        <v>358</v>
      </c>
      <c r="P401" t="s">
        <v>359</v>
      </c>
      <c r="Q401">
        <v>283.45999999999998</v>
      </c>
      <c r="R401">
        <v>7</v>
      </c>
      <c r="S401">
        <v>-83.82</v>
      </c>
    </row>
    <row r="402" spans="1:19" x14ac:dyDescent="0.25">
      <c r="A402">
        <v>401</v>
      </c>
      <c r="B402" s="2">
        <v>45892</v>
      </c>
      <c r="C402">
        <v>2025</v>
      </c>
      <c r="D402" t="s">
        <v>27</v>
      </c>
      <c r="E402" s="2">
        <v>45897</v>
      </c>
      <c r="F402">
        <v>5</v>
      </c>
      <c r="G402" t="s">
        <v>34</v>
      </c>
      <c r="H402" t="s">
        <v>102</v>
      </c>
      <c r="I402" t="s">
        <v>323</v>
      </c>
      <c r="J402" t="s">
        <v>328</v>
      </c>
      <c r="K402" t="s">
        <v>332</v>
      </c>
      <c r="L402" t="s">
        <v>341</v>
      </c>
      <c r="M402" t="s">
        <v>348</v>
      </c>
      <c r="N402" t="s">
        <v>351</v>
      </c>
      <c r="O402" t="s">
        <v>356</v>
      </c>
      <c r="P402" t="s">
        <v>359</v>
      </c>
      <c r="Q402">
        <v>120.76</v>
      </c>
      <c r="R402">
        <v>7</v>
      </c>
      <c r="S402">
        <v>51.35</v>
      </c>
    </row>
    <row r="403" spans="1:19" x14ac:dyDescent="0.25">
      <c r="A403">
        <v>402</v>
      </c>
      <c r="B403" s="2">
        <v>44352</v>
      </c>
      <c r="C403">
        <v>2021</v>
      </c>
      <c r="D403" t="s">
        <v>21</v>
      </c>
      <c r="E403" s="2">
        <v>44357</v>
      </c>
      <c r="F403">
        <v>5</v>
      </c>
      <c r="G403" t="s">
        <v>31</v>
      </c>
      <c r="H403" t="s">
        <v>256</v>
      </c>
      <c r="I403" t="s">
        <v>323</v>
      </c>
      <c r="J403" t="s">
        <v>327</v>
      </c>
      <c r="K403" t="s">
        <v>337</v>
      </c>
      <c r="L403" t="s">
        <v>344</v>
      </c>
      <c r="M403" t="s">
        <v>347</v>
      </c>
      <c r="N403" t="s">
        <v>351</v>
      </c>
      <c r="O403" t="s">
        <v>355</v>
      </c>
      <c r="P403" t="s">
        <v>362</v>
      </c>
      <c r="Q403">
        <v>203.74</v>
      </c>
      <c r="R403">
        <v>3</v>
      </c>
      <c r="S403">
        <v>56.39</v>
      </c>
    </row>
    <row r="404" spans="1:19" x14ac:dyDescent="0.25">
      <c r="A404">
        <v>403</v>
      </c>
      <c r="B404" s="2">
        <v>44841</v>
      </c>
      <c r="C404">
        <v>2022</v>
      </c>
      <c r="D404" t="s">
        <v>22</v>
      </c>
      <c r="E404" s="2">
        <v>44847</v>
      </c>
      <c r="F404">
        <v>6</v>
      </c>
      <c r="G404" t="s">
        <v>32</v>
      </c>
      <c r="H404" t="s">
        <v>257</v>
      </c>
      <c r="I404" t="s">
        <v>325</v>
      </c>
      <c r="J404" t="s">
        <v>326</v>
      </c>
      <c r="K404" t="s">
        <v>331</v>
      </c>
      <c r="L404" t="s">
        <v>340</v>
      </c>
      <c r="M404" t="s">
        <v>347</v>
      </c>
      <c r="N404" t="s">
        <v>352</v>
      </c>
      <c r="O404" t="s">
        <v>358</v>
      </c>
      <c r="P404" t="s">
        <v>360</v>
      </c>
      <c r="Q404">
        <v>174.96</v>
      </c>
      <c r="R404">
        <v>5</v>
      </c>
      <c r="S404">
        <v>-22.65</v>
      </c>
    </row>
    <row r="405" spans="1:19" x14ac:dyDescent="0.25">
      <c r="A405">
        <v>404</v>
      </c>
      <c r="B405" s="2">
        <v>45304</v>
      </c>
      <c r="C405">
        <v>2024</v>
      </c>
      <c r="D405" t="s">
        <v>23</v>
      </c>
      <c r="E405" s="2">
        <v>45314</v>
      </c>
      <c r="F405">
        <v>10</v>
      </c>
      <c r="G405" t="s">
        <v>33</v>
      </c>
      <c r="H405" t="s">
        <v>166</v>
      </c>
      <c r="I405" t="s">
        <v>324</v>
      </c>
      <c r="J405" t="s">
        <v>328</v>
      </c>
      <c r="K405" t="s">
        <v>336</v>
      </c>
      <c r="L405" t="s">
        <v>343</v>
      </c>
      <c r="M405" t="s">
        <v>347</v>
      </c>
      <c r="N405" t="s">
        <v>351</v>
      </c>
      <c r="O405" t="s">
        <v>355</v>
      </c>
      <c r="P405" t="s">
        <v>362</v>
      </c>
      <c r="Q405">
        <v>463.28</v>
      </c>
      <c r="R405">
        <v>3</v>
      </c>
      <c r="S405">
        <v>36.31</v>
      </c>
    </row>
    <row r="406" spans="1:19" x14ac:dyDescent="0.25">
      <c r="A406">
        <v>405</v>
      </c>
      <c r="B406" s="2">
        <v>45710</v>
      </c>
      <c r="C406">
        <v>2025</v>
      </c>
      <c r="D406" t="s">
        <v>28</v>
      </c>
      <c r="E406" s="2">
        <v>45718</v>
      </c>
      <c r="F406">
        <v>8</v>
      </c>
      <c r="G406" t="s">
        <v>34</v>
      </c>
      <c r="H406" t="s">
        <v>47</v>
      </c>
      <c r="I406" t="s">
        <v>325</v>
      </c>
      <c r="J406" t="s">
        <v>327</v>
      </c>
      <c r="K406" t="s">
        <v>334</v>
      </c>
      <c r="L406" t="s">
        <v>334</v>
      </c>
      <c r="M406" t="s">
        <v>349</v>
      </c>
      <c r="N406" t="s">
        <v>350</v>
      </c>
      <c r="O406" t="s">
        <v>353</v>
      </c>
      <c r="P406" t="s">
        <v>360</v>
      </c>
      <c r="Q406">
        <v>135.05000000000001</v>
      </c>
      <c r="R406">
        <v>3</v>
      </c>
      <c r="S406">
        <v>24.45</v>
      </c>
    </row>
    <row r="407" spans="1:19" x14ac:dyDescent="0.25">
      <c r="A407">
        <v>406</v>
      </c>
      <c r="B407" s="2">
        <v>45436</v>
      </c>
      <c r="C407">
        <v>2024</v>
      </c>
      <c r="D407" t="s">
        <v>19</v>
      </c>
      <c r="E407" s="2">
        <v>45441</v>
      </c>
      <c r="F407">
        <v>5</v>
      </c>
      <c r="G407" t="s">
        <v>34</v>
      </c>
      <c r="H407" t="s">
        <v>148</v>
      </c>
      <c r="I407" t="s">
        <v>325</v>
      </c>
      <c r="J407" t="s">
        <v>327</v>
      </c>
      <c r="K407" t="s">
        <v>334</v>
      </c>
      <c r="L407" t="s">
        <v>334</v>
      </c>
      <c r="M407" t="s">
        <v>349</v>
      </c>
      <c r="N407" t="s">
        <v>351</v>
      </c>
      <c r="O407" t="s">
        <v>355</v>
      </c>
      <c r="P407" t="s">
        <v>362</v>
      </c>
      <c r="Q407">
        <v>46</v>
      </c>
      <c r="R407">
        <v>9</v>
      </c>
      <c r="S407">
        <v>-9.25</v>
      </c>
    </row>
    <row r="408" spans="1:19" x14ac:dyDescent="0.25">
      <c r="A408">
        <v>407</v>
      </c>
      <c r="B408" s="2">
        <v>44649</v>
      </c>
      <c r="C408">
        <v>2022</v>
      </c>
      <c r="D408" t="s">
        <v>24</v>
      </c>
      <c r="E408" s="2">
        <v>44651</v>
      </c>
      <c r="F408">
        <v>2</v>
      </c>
      <c r="G408" t="s">
        <v>32</v>
      </c>
      <c r="H408" t="s">
        <v>225</v>
      </c>
      <c r="I408" t="s">
        <v>324</v>
      </c>
      <c r="J408" t="s">
        <v>326</v>
      </c>
      <c r="K408" t="s">
        <v>329</v>
      </c>
      <c r="L408" t="s">
        <v>338</v>
      </c>
      <c r="M408" t="s">
        <v>345</v>
      </c>
      <c r="N408" t="s">
        <v>351</v>
      </c>
      <c r="O408" t="s">
        <v>355</v>
      </c>
      <c r="P408" t="s">
        <v>362</v>
      </c>
      <c r="Q408">
        <v>454.69</v>
      </c>
      <c r="R408">
        <v>2</v>
      </c>
      <c r="S408">
        <v>-116.53</v>
      </c>
    </row>
    <row r="409" spans="1:19" x14ac:dyDescent="0.25">
      <c r="A409">
        <v>408</v>
      </c>
      <c r="B409" s="2">
        <v>44902</v>
      </c>
      <c r="C409">
        <v>2022</v>
      </c>
      <c r="D409" t="s">
        <v>29</v>
      </c>
      <c r="E409" s="2">
        <v>44908</v>
      </c>
      <c r="F409">
        <v>6</v>
      </c>
      <c r="G409" t="s">
        <v>31</v>
      </c>
      <c r="H409" t="s">
        <v>244</v>
      </c>
      <c r="I409" t="s">
        <v>323</v>
      </c>
      <c r="J409" t="s">
        <v>326</v>
      </c>
      <c r="K409" t="s">
        <v>331</v>
      </c>
      <c r="L409" t="s">
        <v>340</v>
      </c>
      <c r="M409" t="s">
        <v>347</v>
      </c>
      <c r="N409" t="s">
        <v>351</v>
      </c>
      <c r="O409" t="s">
        <v>356</v>
      </c>
      <c r="P409" t="s">
        <v>360</v>
      </c>
      <c r="Q409">
        <v>476.88</v>
      </c>
      <c r="R409">
        <v>2</v>
      </c>
      <c r="S409">
        <v>39.1</v>
      </c>
    </row>
    <row r="410" spans="1:19" x14ac:dyDescent="0.25">
      <c r="A410">
        <v>409</v>
      </c>
      <c r="B410" s="2">
        <v>45933</v>
      </c>
      <c r="C410">
        <v>2025</v>
      </c>
      <c r="D410" t="s">
        <v>22</v>
      </c>
      <c r="E410" s="2">
        <v>45935</v>
      </c>
      <c r="F410">
        <v>2</v>
      </c>
      <c r="G410" t="s">
        <v>33</v>
      </c>
      <c r="H410" t="s">
        <v>167</v>
      </c>
      <c r="I410" t="s">
        <v>324</v>
      </c>
      <c r="J410" t="s">
        <v>326</v>
      </c>
      <c r="K410" t="s">
        <v>331</v>
      </c>
      <c r="L410" t="s">
        <v>340</v>
      </c>
      <c r="M410" t="s">
        <v>347</v>
      </c>
      <c r="N410" t="s">
        <v>350</v>
      </c>
      <c r="O410" t="s">
        <v>354</v>
      </c>
      <c r="P410" t="s">
        <v>359</v>
      </c>
      <c r="Q410">
        <v>327.37</v>
      </c>
      <c r="R410">
        <v>10</v>
      </c>
      <c r="S410">
        <v>-14.21</v>
      </c>
    </row>
    <row r="411" spans="1:19" x14ac:dyDescent="0.25">
      <c r="A411">
        <v>410</v>
      </c>
      <c r="B411" s="2">
        <v>45911</v>
      </c>
      <c r="C411">
        <v>2025</v>
      </c>
      <c r="D411" t="s">
        <v>25</v>
      </c>
      <c r="E411" s="2">
        <v>45914</v>
      </c>
      <c r="F411">
        <v>3</v>
      </c>
      <c r="G411" t="s">
        <v>31</v>
      </c>
      <c r="H411" t="s">
        <v>214</v>
      </c>
      <c r="I411" t="s">
        <v>324</v>
      </c>
      <c r="J411" t="s">
        <v>328</v>
      </c>
      <c r="K411" t="s">
        <v>335</v>
      </c>
      <c r="L411" t="s">
        <v>335</v>
      </c>
      <c r="M411" t="s">
        <v>345</v>
      </c>
      <c r="N411" t="s">
        <v>352</v>
      </c>
      <c r="O411" t="s">
        <v>358</v>
      </c>
      <c r="P411" t="s">
        <v>359</v>
      </c>
      <c r="Q411">
        <v>230.08</v>
      </c>
      <c r="R411">
        <v>9</v>
      </c>
      <c r="S411">
        <v>110.3</v>
      </c>
    </row>
    <row r="412" spans="1:19" x14ac:dyDescent="0.25">
      <c r="A412">
        <v>411</v>
      </c>
      <c r="B412" s="2">
        <v>44841</v>
      </c>
      <c r="C412">
        <v>2022</v>
      </c>
      <c r="D412" t="s">
        <v>22</v>
      </c>
      <c r="E412" s="2">
        <v>44844</v>
      </c>
      <c r="F412">
        <v>3</v>
      </c>
      <c r="G412" t="s">
        <v>33</v>
      </c>
      <c r="H412" t="s">
        <v>146</v>
      </c>
      <c r="I412" t="s">
        <v>325</v>
      </c>
      <c r="J412" t="s">
        <v>326</v>
      </c>
      <c r="K412" t="s">
        <v>329</v>
      </c>
      <c r="L412" t="s">
        <v>338</v>
      </c>
      <c r="M412" t="s">
        <v>345</v>
      </c>
      <c r="N412" t="s">
        <v>351</v>
      </c>
      <c r="O412" t="s">
        <v>355</v>
      </c>
      <c r="P412" t="s">
        <v>359</v>
      </c>
      <c r="Q412">
        <v>268.77</v>
      </c>
      <c r="R412">
        <v>3</v>
      </c>
      <c r="S412">
        <v>98.39</v>
      </c>
    </row>
    <row r="413" spans="1:19" x14ac:dyDescent="0.25">
      <c r="A413">
        <v>412</v>
      </c>
      <c r="B413" s="2">
        <v>44619</v>
      </c>
      <c r="C413">
        <v>2022</v>
      </c>
      <c r="D413" t="s">
        <v>28</v>
      </c>
      <c r="E413" s="2">
        <v>44628</v>
      </c>
      <c r="F413">
        <v>9</v>
      </c>
      <c r="G413" t="s">
        <v>33</v>
      </c>
      <c r="H413" t="s">
        <v>258</v>
      </c>
      <c r="I413" t="s">
        <v>323</v>
      </c>
      <c r="J413" t="s">
        <v>326</v>
      </c>
      <c r="K413" t="s">
        <v>329</v>
      </c>
      <c r="L413" t="s">
        <v>338</v>
      </c>
      <c r="M413" t="s">
        <v>345</v>
      </c>
      <c r="N413" t="s">
        <v>350</v>
      </c>
      <c r="O413" t="s">
        <v>353</v>
      </c>
      <c r="P413" t="s">
        <v>360</v>
      </c>
      <c r="Q413">
        <v>277.23</v>
      </c>
      <c r="R413">
        <v>10</v>
      </c>
      <c r="S413">
        <v>-27.03</v>
      </c>
    </row>
    <row r="414" spans="1:19" x14ac:dyDescent="0.25">
      <c r="A414">
        <v>413</v>
      </c>
      <c r="B414" s="2">
        <v>44296</v>
      </c>
      <c r="C414">
        <v>2021</v>
      </c>
      <c r="D414" t="s">
        <v>26</v>
      </c>
      <c r="E414" s="2">
        <v>44300</v>
      </c>
      <c r="F414">
        <v>4</v>
      </c>
      <c r="G414" t="s">
        <v>31</v>
      </c>
      <c r="H414" t="s">
        <v>259</v>
      </c>
      <c r="I414" t="s">
        <v>324</v>
      </c>
      <c r="J414" t="s">
        <v>328</v>
      </c>
      <c r="K414" t="s">
        <v>332</v>
      </c>
      <c r="L414" t="s">
        <v>341</v>
      </c>
      <c r="M414" t="s">
        <v>348</v>
      </c>
      <c r="N414" t="s">
        <v>350</v>
      </c>
      <c r="O414" t="s">
        <v>353</v>
      </c>
      <c r="P414" t="s">
        <v>359</v>
      </c>
      <c r="Q414">
        <v>210.01</v>
      </c>
      <c r="R414">
        <v>5</v>
      </c>
      <c r="S414">
        <v>-29.28</v>
      </c>
    </row>
    <row r="415" spans="1:19" x14ac:dyDescent="0.25">
      <c r="A415">
        <v>414</v>
      </c>
      <c r="B415" s="2">
        <v>44162</v>
      </c>
      <c r="C415">
        <v>2020</v>
      </c>
      <c r="D415" t="s">
        <v>30</v>
      </c>
      <c r="E415" s="2">
        <v>44166</v>
      </c>
      <c r="F415">
        <v>4</v>
      </c>
      <c r="G415" t="s">
        <v>34</v>
      </c>
      <c r="H415" t="s">
        <v>169</v>
      </c>
      <c r="I415" t="s">
        <v>325</v>
      </c>
      <c r="J415" t="s">
        <v>328</v>
      </c>
      <c r="K415" t="s">
        <v>332</v>
      </c>
      <c r="L415" t="s">
        <v>341</v>
      </c>
      <c r="M415" t="s">
        <v>348</v>
      </c>
      <c r="N415" t="s">
        <v>350</v>
      </c>
      <c r="O415" t="s">
        <v>353</v>
      </c>
      <c r="P415" t="s">
        <v>362</v>
      </c>
      <c r="Q415">
        <v>174.92</v>
      </c>
      <c r="R415">
        <v>8</v>
      </c>
      <c r="S415">
        <v>57.99</v>
      </c>
    </row>
    <row r="416" spans="1:19" x14ac:dyDescent="0.25">
      <c r="A416">
        <v>415</v>
      </c>
      <c r="B416" s="2">
        <v>45966</v>
      </c>
      <c r="C416">
        <v>2025</v>
      </c>
      <c r="D416" t="s">
        <v>30</v>
      </c>
      <c r="E416" s="2">
        <v>45974</v>
      </c>
      <c r="F416">
        <v>8</v>
      </c>
      <c r="G416" t="s">
        <v>32</v>
      </c>
      <c r="H416" t="s">
        <v>54</v>
      </c>
      <c r="I416" t="s">
        <v>323</v>
      </c>
      <c r="J416" t="s">
        <v>326</v>
      </c>
      <c r="K416" t="s">
        <v>331</v>
      </c>
      <c r="L416" t="s">
        <v>340</v>
      </c>
      <c r="M416" t="s">
        <v>347</v>
      </c>
      <c r="N416" t="s">
        <v>350</v>
      </c>
      <c r="O416" t="s">
        <v>353</v>
      </c>
      <c r="P416" t="s">
        <v>362</v>
      </c>
      <c r="Q416">
        <v>371.43</v>
      </c>
      <c r="R416">
        <v>4</v>
      </c>
      <c r="S416">
        <v>97.59</v>
      </c>
    </row>
    <row r="417" spans="1:19" x14ac:dyDescent="0.25">
      <c r="A417">
        <v>416</v>
      </c>
      <c r="B417" s="2">
        <v>45285</v>
      </c>
      <c r="C417">
        <v>2023</v>
      </c>
      <c r="D417" t="s">
        <v>29</v>
      </c>
      <c r="E417" s="2">
        <v>45289</v>
      </c>
      <c r="F417">
        <v>4</v>
      </c>
      <c r="G417" t="s">
        <v>34</v>
      </c>
      <c r="H417" t="s">
        <v>150</v>
      </c>
      <c r="I417" t="s">
        <v>325</v>
      </c>
      <c r="J417" t="s">
        <v>326</v>
      </c>
      <c r="K417" t="s">
        <v>333</v>
      </c>
      <c r="L417" t="s">
        <v>342</v>
      </c>
      <c r="M417" t="s">
        <v>345</v>
      </c>
      <c r="N417" t="s">
        <v>351</v>
      </c>
      <c r="O417" t="s">
        <v>355</v>
      </c>
      <c r="P417" t="s">
        <v>360</v>
      </c>
      <c r="Q417">
        <v>434.55</v>
      </c>
      <c r="R417">
        <v>5</v>
      </c>
      <c r="S417">
        <v>56.98</v>
      </c>
    </row>
    <row r="418" spans="1:19" x14ac:dyDescent="0.25">
      <c r="A418">
        <v>417</v>
      </c>
      <c r="B418" s="2">
        <v>45762</v>
      </c>
      <c r="C418">
        <v>2025</v>
      </c>
      <c r="D418" t="s">
        <v>26</v>
      </c>
      <c r="E418" s="2">
        <v>45765</v>
      </c>
      <c r="F418">
        <v>3</v>
      </c>
      <c r="G418" t="s">
        <v>32</v>
      </c>
      <c r="H418" t="s">
        <v>221</v>
      </c>
      <c r="I418" t="s">
        <v>324</v>
      </c>
      <c r="J418" t="s">
        <v>326</v>
      </c>
      <c r="K418" t="s">
        <v>329</v>
      </c>
      <c r="L418" t="s">
        <v>338</v>
      </c>
      <c r="M418" t="s">
        <v>345</v>
      </c>
      <c r="N418" t="s">
        <v>351</v>
      </c>
      <c r="O418" t="s">
        <v>356</v>
      </c>
      <c r="P418" t="s">
        <v>359</v>
      </c>
      <c r="Q418">
        <v>474.96</v>
      </c>
      <c r="R418">
        <v>8</v>
      </c>
      <c r="S418">
        <v>35.74</v>
      </c>
    </row>
    <row r="419" spans="1:19" x14ac:dyDescent="0.25">
      <c r="A419">
        <v>418</v>
      </c>
      <c r="B419" s="2">
        <v>44380</v>
      </c>
      <c r="C419">
        <v>2021</v>
      </c>
      <c r="D419" t="s">
        <v>20</v>
      </c>
      <c r="E419" s="2">
        <v>44383</v>
      </c>
      <c r="F419">
        <v>3</v>
      </c>
      <c r="G419" t="s">
        <v>32</v>
      </c>
      <c r="H419" t="s">
        <v>260</v>
      </c>
      <c r="I419" t="s">
        <v>325</v>
      </c>
      <c r="J419" t="s">
        <v>327</v>
      </c>
      <c r="K419" t="s">
        <v>337</v>
      </c>
      <c r="L419" t="s">
        <v>344</v>
      </c>
      <c r="M419" t="s">
        <v>347</v>
      </c>
      <c r="N419" t="s">
        <v>352</v>
      </c>
      <c r="O419" t="s">
        <v>357</v>
      </c>
      <c r="P419" t="s">
        <v>359</v>
      </c>
      <c r="Q419">
        <v>90.69</v>
      </c>
      <c r="R419">
        <v>1</v>
      </c>
      <c r="S419">
        <v>27.35</v>
      </c>
    </row>
    <row r="420" spans="1:19" x14ac:dyDescent="0.25">
      <c r="A420">
        <v>419</v>
      </c>
      <c r="B420" s="2">
        <v>44141</v>
      </c>
      <c r="C420">
        <v>2020</v>
      </c>
      <c r="D420" t="s">
        <v>30</v>
      </c>
      <c r="E420" s="2">
        <v>44150</v>
      </c>
      <c r="F420">
        <v>9</v>
      </c>
      <c r="G420" t="s">
        <v>33</v>
      </c>
      <c r="H420" t="s">
        <v>230</v>
      </c>
      <c r="I420" t="s">
        <v>324</v>
      </c>
      <c r="J420" t="s">
        <v>327</v>
      </c>
      <c r="K420" t="s">
        <v>334</v>
      </c>
      <c r="L420" t="s">
        <v>334</v>
      </c>
      <c r="M420" t="s">
        <v>349</v>
      </c>
      <c r="N420" t="s">
        <v>352</v>
      </c>
      <c r="O420" t="s">
        <v>357</v>
      </c>
      <c r="P420" t="s">
        <v>359</v>
      </c>
      <c r="Q420">
        <v>265.01</v>
      </c>
      <c r="R420">
        <v>1</v>
      </c>
      <c r="S420">
        <v>96.35</v>
      </c>
    </row>
    <row r="421" spans="1:19" x14ac:dyDescent="0.25">
      <c r="A421">
        <v>420</v>
      </c>
      <c r="B421" s="2">
        <v>44940</v>
      </c>
      <c r="C421">
        <v>2023</v>
      </c>
      <c r="D421" t="s">
        <v>23</v>
      </c>
      <c r="E421" s="2">
        <v>44947</v>
      </c>
      <c r="F421">
        <v>7</v>
      </c>
      <c r="G421" t="s">
        <v>33</v>
      </c>
      <c r="H421" t="s">
        <v>149</v>
      </c>
      <c r="I421" t="s">
        <v>325</v>
      </c>
      <c r="J421" t="s">
        <v>327</v>
      </c>
      <c r="K421" t="s">
        <v>334</v>
      </c>
      <c r="L421" t="s">
        <v>334</v>
      </c>
      <c r="M421" t="s">
        <v>349</v>
      </c>
      <c r="N421" t="s">
        <v>351</v>
      </c>
      <c r="O421" t="s">
        <v>356</v>
      </c>
      <c r="P421" t="s">
        <v>362</v>
      </c>
      <c r="Q421">
        <v>339.31</v>
      </c>
      <c r="R421">
        <v>2</v>
      </c>
      <c r="S421">
        <v>85.96</v>
      </c>
    </row>
    <row r="422" spans="1:19" x14ac:dyDescent="0.25">
      <c r="A422">
        <v>421</v>
      </c>
      <c r="B422" s="2">
        <v>43879</v>
      </c>
      <c r="C422">
        <v>2020</v>
      </c>
      <c r="D422" t="s">
        <v>28</v>
      </c>
      <c r="E422" s="2">
        <v>43883</v>
      </c>
      <c r="F422">
        <v>4</v>
      </c>
      <c r="G422" t="s">
        <v>33</v>
      </c>
      <c r="H422" t="s">
        <v>63</v>
      </c>
      <c r="I422" t="s">
        <v>324</v>
      </c>
      <c r="J422" t="s">
        <v>328</v>
      </c>
      <c r="K422" t="s">
        <v>335</v>
      </c>
      <c r="L422" t="s">
        <v>335</v>
      </c>
      <c r="M422" t="s">
        <v>345</v>
      </c>
      <c r="N422" t="s">
        <v>350</v>
      </c>
      <c r="O422" t="s">
        <v>353</v>
      </c>
      <c r="P422" t="s">
        <v>360</v>
      </c>
      <c r="Q422">
        <v>231.05</v>
      </c>
      <c r="R422">
        <v>2</v>
      </c>
      <c r="S422">
        <v>77.319999999999993</v>
      </c>
    </row>
    <row r="423" spans="1:19" x14ac:dyDescent="0.25">
      <c r="A423">
        <v>422</v>
      </c>
      <c r="B423" s="2">
        <v>46009</v>
      </c>
      <c r="C423">
        <v>2025</v>
      </c>
      <c r="D423" t="s">
        <v>29</v>
      </c>
      <c r="E423" s="2">
        <v>46011</v>
      </c>
      <c r="F423">
        <v>2</v>
      </c>
      <c r="G423" t="s">
        <v>33</v>
      </c>
      <c r="H423" t="s">
        <v>81</v>
      </c>
      <c r="I423" t="s">
        <v>323</v>
      </c>
      <c r="J423" t="s">
        <v>326</v>
      </c>
      <c r="K423" t="s">
        <v>331</v>
      </c>
      <c r="L423" t="s">
        <v>340</v>
      </c>
      <c r="M423" t="s">
        <v>347</v>
      </c>
      <c r="N423" t="s">
        <v>350</v>
      </c>
      <c r="O423" t="s">
        <v>353</v>
      </c>
      <c r="P423" t="s">
        <v>360</v>
      </c>
      <c r="Q423">
        <v>120.84</v>
      </c>
      <c r="R423">
        <v>8</v>
      </c>
      <c r="S423">
        <v>-4.3600000000000003</v>
      </c>
    </row>
    <row r="424" spans="1:19" x14ac:dyDescent="0.25">
      <c r="A424">
        <v>423</v>
      </c>
      <c r="B424" s="2">
        <v>45412</v>
      </c>
      <c r="C424">
        <v>2024</v>
      </c>
      <c r="D424" t="s">
        <v>26</v>
      </c>
      <c r="E424" s="2">
        <v>45421</v>
      </c>
      <c r="F424">
        <v>9</v>
      </c>
      <c r="G424" t="s">
        <v>34</v>
      </c>
      <c r="H424" t="s">
        <v>253</v>
      </c>
      <c r="I424" t="s">
        <v>323</v>
      </c>
      <c r="J424" t="s">
        <v>326</v>
      </c>
      <c r="K424" t="s">
        <v>329</v>
      </c>
      <c r="L424" t="s">
        <v>338</v>
      </c>
      <c r="M424" t="s">
        <v>345</v>
      </c>
      <c r="N424" t="s">
        <v>351</v>
      </c>
      <c r="O424" t="s">
        <v>355</v>
      </c>
      <c r="P424" t="s">
        <v>362</v>
      </c>
      <c r="Q424">
        <v>470.62</v>
      </c>
      <c r="R424">
        <v>2</v>
      </c>
      <c r="S424">
        <v>37.65</v>
      </c>
    </row>
    <row r="425" spans="1:19" x14ac:dyDescent="0.25">
      <c r="A425">
        <v>424</v>
      </c>
      <c r="B425" s="2">
        <v>45684</v>
      </c>
      <c r="C425">
        <v>2025</v>
      </c>
      <c r="D425" t="s">
        <v>23</v>
      </c>
      <c r="E425" s="2">
        <v>45694</v>
      </c>
      <c r="F425">
        <v>10</v>
      </c>
      <c r="G425" t="s">
        <v>34</v>
      </c>
      <c r="H425" t="s">
        <v>167</v>
      </c>
      <c r="I425" t="s">
        <v>324</v>
      </c>
      <c r="J425" t="s">
        <v>327</v>
      </c>
      <c r="K425" t="s">
        <v>330</v>
      </c>
      <c r="L425" t="s">
        <v>339</v>
      </c>
      <c r="M425" t="s">
        <v>346</v>
      </c>
      <c r="N425" t="s">
        <v>352</v>
      </c>
      <c r="O425" t="s">
        <v>358</v>
      </c>
      <c r="P425" t="s">
        <v>362</v>
      </c>
      <c r="Q425">
        <v>63.84</v>
      </c>
      <c r="R425">
        <v>8</v>
      </c>
      <c r="S425">
        <v>-6.31</v>
      </c>
    </row>
    <row r="426" spans="1:19" x14ac:dyDescent="0.25">
      <c r="A426">
        <v>425</v>
      </c>
      <c r="B426" s="2">
        <v>44430</v>
      </c>
      <c r="C426">
        <v>2021</v>
      </c>
      <c r="D426" t="s">
        <v>27</v>
      </c>
      <c r="E426" s="2">
        <v>44437</v>
      </c>
      <c r="F426">
        <v>7</v>
      </c>
      <c r="G426" t="s">
        <v>33</v>
      </c>
      <c r="H426" t="s">
        <v>86</v>
      </c>
      <c r="I426" t="s">
        <v>324</v>
      </c>
      <c r="J426" t="s">
        <v>326</v>
      </c>
      <c r="K426" t="s">
        <v>331</v>
      </c>
      <c r="L426" t="s">
        <v>340</v>
      </c>
      <c r="M426" t="s">
        <v>347</v>
      </c>
      <c r="N426" t="s">
        <v>350</v>
      </c>
      <c r="O426" t="s">
        <v>354</v>
      </c>
      <c r="P426" t="s">
        <v>359</v>
      </c>
      <c r="Q426">
        <v>336.82</v>
      </c>
      <c r="R426">
        <v>3</v>
      </c>
      <c r="S426">
        <v>157.99</v>
      </c>
    </row>
    <row r="427" spans="1:19" x14ac:dyDescent="0.25">
      <c r="A427">
        <v>426</v>
      </c>
      <c r="B427" s="2">
        <v>45957</v>
      </c>
      <c r="C427">
        <v>2025</v>
      </c>
      <c r="D427" t="s">
        <v>22</v>
      </c>
      <c r="E427" s="2">
        <v>45963</v>
      </c>
      <c r="F427">
        <v>6</v>
      </c>
      <c r="G427" t="s">
        <v>32</v>
      </c>
      <c r="H427" t="s">
        <v>97</v>
      </c>
      <c r="I427" t="s">
        <v>325</v>
      </c>
      <c r="J427" t="s">
        <v>327</v>
      </c>
      <c r="K427" t="s">
        <v>337</v>
      </c>
      <c r="L427" t="s">
        <v>344</v>
      </c>
      <c r="M427" t="s">
        <v>347</v>
      </c>
      <c r="N427" t="s">
        <v>351</v>
      </c>
      <c r="O427" t="s">
        <v>356</v>
      </c>
      <c r="P427" t="s">
        <v>360</v>
      </c>
      <c r="Q427">
        <v>217.36</v>
      </c>
      <c r="R427">
        <v>10</v>
      </c>
      <c r="S427">
        <v>93.99</v>
      </c>
    </row>
    <row r="428" spans="1:19" x14ac:dyDescent="0.25">
      <c r="A428">
        <v>427</v>
      </c>
      <c r="B428" s="2">
        <v>45050</v>
      </c>
      <c r="C428">
        <v>2023</v>
      </c>
      <c r="D428" t="s">
        <v>19</v>
      </c>
      <c r="E428" s="2">
        <v>45052</v>
      </c>
      <c r="F428">
        <v>2</v>
      </c>
      <c r="G428" t="s">
        <v>33</v>
      </c>
      <c r="H428" t="s">
        <v>75</v>
      </c>
      <c r="I428" t="s">
        <v>323</v>
      </c>
      <c r="J428" t="s">
        <v>327</v>
      </c>
      <c r="K428" t="s">
        <v>334</v>
      </c>
      <c r="L428" t="s">
        <v>334</v>
      </c>
      <c r="M428" t="s">
        <v>349</v>
      </c>
      <c r="N428" t="s">
        <v>350</v>
      </c>
      <c r="O428" t="s">
        <v>354</v>
      </c>
      <c r="P428" t="s">
        <v>362</v>
      </c>
      <c r="Q428">
        <v>224.2</v>
      </c>
      <c r="R428">
        <v>4</v>
      </c>
      <c r="S428">
        <v>13.46</v>
      </c>
    </row>
    <row r="429" spans="1:19" x14ac:dyDescent="0.25">
      <c r="A429">
        <v>428</v>
      </c>
      <c r="B429" s="2">
        <v>45271</v>
      </c>
      <c r="C429">
        <v>2023</v>
      </c>
      <c r="D429" t="s">
        <v>29</v>
      </c>
      <c r="E429" s="2">
        <v>45279</v>
      </c>
      <c r="F429">
        <v>8</v>
      </c>
      <c r="G429" t="s">
        <v>31</v>
      </c>
      <c r="H429" t="s">
        <v>145</v>
      </c>
      <c r="I429" t="s">
        <v>325</v>
      </c>
      <c r="J429" t="s">
        <v>328</v>
      </c>
      <c r="K429" t="s">
        <v>336</v>
      </c>
      <c r="L429" t="s">
        <v>343</v>
      </c>
      <c r="M429" t="s">
        <v>347</v>
      </c>
      <c r="N429" t="s">
        <v>352</v>
      </c>
      <c r="O429" t="s">
        <v>357</v>
      </c>
      <c r="P429" t="s">
        <v>362</v>
      </c>
      <c r="Q429">
        <v>123.82</v>
      </c>
      <c r="R429">
        <v>5</v>
      </c>
      <c r="S429">
        <v>-33.82</v>
      </c>
    </row>
    <row r="430" spans="1:19" x14ac:dyDescent="0.25">
      <c r="A430">
        <v>429</v>
      </c>
      <c r="B430" s="2">
        <v>44881</v>
      </c>
      <c r="C430">
        <v>2022</v>
      </c>
      <c r="D430" t="s">
        <v>30</v>
      </c>
      <c r="E430" s="2">
        <v>44884</v>
      </c>
      <c r="F430">
        <v>3</v>
      </c>
      <c r="G430" t="s">
        <v>34</v>
      </c>
      <c r="H430" t="s">
        <v>167</v>
      </c>
      <c r="I430" t="s">
        <v>324</v>
      </c>
      <c r="J430" t="s">
        <v>327</v>
      </c>
      <c r="K430" t="s">
        <v>334</v>
      </c>
      <c r="L430" t="s">
        <v>334</v>
      </c>
      <c r="M430" t="s">
        <v>349</v>
      </c>
      <c r="N430" t="s">
        <v>350</v>
      </c>
      <c r="O430" t="s">
        <v>354</v>
      </c>
      <c r="P430" t="s">
        <v>362</v>
      </c>
      <c r="Q430">
        <v>221.99</v>
      </c>
      <c r="R430">
        <v>2</v>
      </c>
      <c r="S430">
        <v>-61.42</v>
      </c>
    </row>
    <row r="431" spans="1:19" x14ac:dyDescent="0.25">
      <c r="A431">
        <v>430</v>
      </c>
      <c r="B431" s="2">
        <v>45591</v>
      </c>
      <c r="C431">
        <v>2024</v>
      </c>
      <c r="D431" t="s">
        <v>22</v>
      </c>
      <c r="E431" s="2">
        <v>45592</v>
      </c>
      <c r="F431">
        <v>1</v>
      </c>
      <c r="G431" t="s">
        <v>31</v>
      </c>
      <c r="H431" t="s">
        <v>149</v>
      </c>
      <c r="I431" t="s">
        <v>324</v>
      </c>
      <c r="J431" t="s">
        <v>327</v>
      </c>
      <c r="K431" t="s">
        <v>337</v>
      </c>
      <c r="L431" t="s">
        <v>344</v>
      </c>
      <c r="M431" t="s">
        <v>347</v>
      </c>
      <c r="N431" t="s">
        <v>351</v>
      </c>
      <c r="O431" t="s">
        <v>356</v>
      </c>
      <c r="P431" t="s">
        <v>360</v>
      </c>
      <c r="Q431">
        <v>147.54</v>
      </c>
      <c r="R431">
        <v>7</v>
      </c>
      <c r="S431">
        <v>10.1</v>
      </c>
    </row>
    <row r="432" spans="1:19" x14ac:dyDescent="0.25">
      <c r="A432">
        <v>431</v>
      </c>
      <c r="B432" s="2">
        <v>45698</v>
      </c>
      <c r="C432">
        <v>2025</v>
      </c>
      <c r="D432" t="s">
        <v>28</v>
      </c>
      <c r="E432" s="2">
        <v>45702</v>
      </c>
      <c r="F432">
        <v>4</v>
      </c>
      <c r="G432" t="s">
        <v>32</v>
      </c>
      <c r="H432" t="s">
        <v>261</v>
      </c>
      <c r="I432" t="s">
        <v>325</v>
      </c>
      <c r="J432" t="s">
        <v>327</v>
      </c>
      <c r="K432" t="s">
        <v>334</v>
      </c>
      <c r="L432" t="s">
        <v>334</v>
      </c>
      <c r="M432" t="s">
        <v>349</v>
      </c>
      <c r="N432" t="s">
        <v>352</v>
      </c>
      <c r="O432" t="s">
        <v>358</v>
      </c>
      <c r="P432" t="s">
        <v>359</v>
      </c>
      <c r="Q432">
        <v>255.78</v>
      </c>
      <c r="R432">
        <v>6</v>
      </c>
      <c r="S432">
        <v>23.46</v>
      </c>
    </row>
    <row r="433" spans="1:19" x14ac:dyDescent="0.25">
      <c r="A433">
        <v>432</v>
      </c>
      <c r="B433" s="2">
        <v>45261</v>
      </c>
      <c r="C433">
        <v>2023</v>
      </c>
      <c r="D433" t="s">
        <v>29</v>
      </c>
      <c r="E433" s="2">
        <v>45270</v>
      </c>
      <c r="F433">
        <v>9</v>
      </c>
      <c r="G433" t="s">
        <v>31</v>
      </c>
      <c r="H433" t="s">
        <v>238</v>
      </c>
      <c r="I433" t="s">
        <v>323</v>
      </c>
      <c r="J433" t="s">
        <v>328</v>
      </c>
      <c r="K433" t="s">
        <v>335</v>
      </c>
      <c r="L433" t="s">
        <v>335</v>
      </c>
      <c r="M433" t="s">
        <v>345</v>
      </c>
      <c r="N433" t="s">
        <v>350</v>
      </c>
      <c r="O433" t="s">
        <v>353</v>
      </c>
      <c r="P433" t="s">
        <v>362</v>
      </c>
      <c r="Q433">
        <v>462.95</v>
      </c>
      <c r="R433">
        <v>2</v>
      </c>
      <c r="S433">
        <v>123.8</v>
      </c>
    </row>
    <row r="434" spans="1:19" x14ac:dyDescent="0.25">
      <c r="A434">
        <v>433</v>
      </c>
      <c r="B434" s="2">
        <v>44004</v>
      </c>
      <c r="C434">
        <v>2020</v>
      </c>
      <c r="D434" t="s">
        <v>21</v>
      </c>
      <c r="E434" s="2">
        <v>44014</v>
      </c>
      <c r="F434">
        <v>10</v>
      </c>
      <c r="G434" t="s">
        <v>32</v>
      </c>
      <c r="H434" t="s">
        <v>262</v>
      </c>
      <c r="I434" t="s">
        <v>324</v>
      </c>
      <c r="J434" t="s">
        <v>327</v>
      </c>
      <c r="K434" t="s">
        <v>330</v>
      </c>
      <c r="L434" t="s">
        <v>339</v>
      </c>
      <c r="M434" t="s">
        <v>346</v>
      </c>
      <c r="N434" t="s">
        <v>350</v>
      </c>
      <c r="O434" t="s">
        <v>353</v>
      </c>
      <c r="P434" t="s">
        <v>359</v>
      </c>
      <c r="Q434">
        <v>467.9</v>
      </c>
      <c r="R434">
        <v>10</v>
      </c>
      <c r="S434">
        <v>-139.94</v>
      </c>
    </row>
    <row r="435" spans="1:19" x14ac:dyDescent="0.25">
      <c r="A435">
        <v>434</v>
      </c>
      <c r="B435" s="2">
        <v>44846</v>
      </c>
      <c r="C435">
        <v>2022</v>
      </c>
      <c r="D435" t="s">
        <v>22</v>
      </c>
      <c r="E435" s="2">
        <v>44856</v>
      </c>
      <c r="F435">
        <v>10</v>
      </c>
      <c r="G435" t="s">
        <v>32</v>
      </c>
      <c r="H435" t="s">
        <v>84</v>
      </c>
      <c r="I435" t="s">
        <v>323</v>
      </c>
      <c r="J435" t="s">
        <v>326</v>
      </c>
      <c r="K435" t="s">
        <v>329</v>
      </c>
      <c r="L435" t="s">
        <v>338</v>
      </c>
      <c r="M435" t="s">
        <v>345</v>
      </c>
      <c r="N435" t="s">
        <v>351</v>
      </c>
      <c r="O435" t="s">
        <v>355</v>
      </c>
      <c r="P435" t="s">
        <v>360</v>
      </c>
      <c r="Q435">
        <v>428.04</v>
      </c>
      <c r="R435">
        <v>1</v>
      </c>
      <c r="S435">
        <v>-96.99</v>
      </c>
    </row>
    <row r="436" spans="1:19" x14ac:dyDescent="0.25">
      <c r="A436">
        <v>435</v>
      </c>
      <c r="B436" s="2">
        <v>45372</v>
      </c>
      <c r="C436">
        <v>2024</v>
      </c>
      <c r="D436" t="s">
        <v>24</v>
      </c>
      <c r="E436" s="2">
        <v>45382</v>
      </c>
      <c r="F436">
        <v>10</v>
      </c>
      <c r="G436" t="s">
        <v>33</v>
      </c>
      <c r="H436" t="s">
        <v>161</v>
      </c>
      <c r="I436" t="s">
        <v>325</v>
      </c>
      <c r="J436" t="s">
        <v>326</v>
      </c>
      <c r="K436" t="s">
        <v>331</v>
      </c>
      <c r="L436" t="s">
        <v>340</v>
      </c>
      <c r="M436" t="s">
        <v>347</v>
      </c>
      <c r="N436" t="s">
        <v>352</v>
      </c>
      <c r="O436" t="s">
        <v>357</v>
      </c>
      <c r="P436" t="s">
        <v>362</v>
      </c>
      <c r="Q436">
        <v>133.63999999999999</v>
      </c>
      <c r="R436">
        <v>8</v>
      </c>
      <c r="S436">
        <v>4.72</v>
      </c>
    </row>
    <row r="437" spans="1:19" x14ac:dyDescent="0.25">
      <c r="A437">
        <v>436</v>
      </c>
      <c r="B437" s="2">
        <v>44875</v>
      </c>
      <c r="C437">
        <v>2022</v>
      </c>
      <c r="D437" t="s">
        <v>30</v>
      </c>
      <c r="E437" s="2">
        <v>44876</v>
      </c>
      <c r="F437">
        <v>1</v>
      </c>
      <c r="G437" t="s">
        <v>31</v>
      </c>
      <c r="H437" t="s">
        <v>191</v>
      </c>
      <c r="I437" t="s">
        <v>323</v>
      </c>
      <c r="J437" t="s">
        <v>326</v>
      </c>
      <c r="K437" t="s">
        <v>333</v>
      </c>
      <c r="L437" t="s">
        <v>342</v>
      </c>
      <c r="M437" t="s">
        <v>345</v>
      </c>
      <c r="N437" t="s">
        <v>351</v>
      </c>
      <c r="O437" t="s">
        <v>355</v>
      </c>
      <c r="P437" t="s">
        <v>359</v>
      </c>
      <c r="Q437">
        <v>458.58</v>
      </c>
      <c r="R437">
        <v>1</v>
      </c>
      <c r="S437">
        <v>-16.36</v>
      </c>
    </row>
    <row r="438" spans="1:19" x14ac:dyDescent="0.25">
      <c r="A438">
        <v>437</v>
      </c>
      <c r="B438" s="2">
        <v>43940</v>
      </c>
      <c r="C438">
        <v>2020</v>
      </c>
      <c r="D438" t="s">
        <v>26</v>
      </c>
      <c r="E438" s="2">
        <v>43948</v>
      </c>
      <c r="F438">
        <v>8</v>
      </c>
      <c r="G438" t="s">
        <v>32</v>
      </c>
      <c r="H438" t="s">
        <v>149</v>
      </c>
      <c r="I438" t="s">
        <v>324</v>
      </c>
      <c r="J438" t="s">
        <v>326</v>
      </c>
      <c r="K438" t="s">
        <v>333</v>
      </c>
      <c r="L438" t="s">
        <v>342</v>
      </c>
      <c r="M438" t="s">
        <v>345</v>
      </c>
      <c r="N438" t="s">
        <v>350</v>
      </c>
      <c r="O438" t="s">
        <v>354</v>
      </c>
      <c r="P438" t="s">
        <v>362</v>
      </c>
      <c r="Q438">
        <v>369.43</v>
      </c>
      <c r="R438">
        <v>5</v>
      </c>
      <c r="S438">
        <v>40.119999999999997</v>
      </c>
    </row>
    <row r="439" spans="1:19" x14ac:dyDescent="0.25">
      <c r="A439">
        <v>438</v>
      </c>
      <c r="B439" s="2">
        <v>44606</v>
      </c>
      <c r="C439">
        <v>2022</v>
      </c>
      <c r="D439" t="s">
        <v>28</v>
      </c>
      <c r="E439" s="2">
        <v>44614</v>
      </c>
      <c r="F439">
        <v>8</v>
      </c>
      <c r="G439" t="s">
        <v>32</v>
      </c>
      <c r="H439" t="s">
        <v>51</v>
      </c>
      <c r="I439" t="s">
        <v>323</v>
      </c>
      <c r="J439" t="s">
        <v>327</v>
      </c>
      <c r="K439" t="s">
        <v>337</v>
      </c>
      <c r="L439" t="s">
        <v>344</v>
      </c>
      <c r="M439" t="s">
        <v>347</v>
      </c>
      <c r="N439" t="s">
        <v>351</v>
      </c>
      <c r="O439" t="s">
        <v>356</v>
      </c>
      <c r="P439" t="s">
        <v>362</v>
      </c>
      <c r="Q439">
        <v>129.80000000000001</v>
      </c>
      <c r="R439">
        <v>3</v>
      </c>
      <c r="S439">
        <v>-5.95</v>
      </c>
    </row>
    <row r="440" spans="1:19" x14ac:dyDescent="0.25">
      <c r="A440">
        <v>439</v>
      </c>
      <c r="B440" s="2">
        <v>44268</v>
      </c>
      <c r="C440">
        <v>2021</v>
      </c>
      <c r="D440" t="s">
        <v>24</v>
      </c>
      <c r="E440" s="2">
        <v>44272</v>
      </c>
      <c r="F440">
        <v>4</v>
      </c>
      <c r="G440" t="s">
        <v>31</v>
      </c>
      <c r="H440" t="s">
        <v>245</v>
      </c>
      <c r="I440" t="s">
        <v>323</v>
      </c>
      <c r="J440" t="s">
        <v>327</v>
      </c>
      <c r="K440" t="s">
        <v>330</v>
      </c>
      <c r="L440" t="s">
        <v>339</v>
      </c>
      <c r="M440" t="s">
        <v>346</v>
      </c>
      <c r="N440" t="s">
        <v>352</v>
      </c>
      <c r="O440" t="s">
        <v>357</v>
      </c>
      <c r="P440" t="s">
        <v>359</v>
      </c>
      <c r="Q440">
        <v>350.06</v>
      </c>
      <c r="R440">
        <v>7</v>
      </c>
      <c r="S440">
        <v>-13.64</v>
      </c>
    </row>
    <row r="441" spans="1:19" x14ac:dyDescent="0.25">
      <c r="A441">
        <v>440</v>
      </c>
      <c r="B441" s="2">
        <v>44319</v>
      </c>
      <c r="C441">
        <v>2021</v>
      </c>
      <c r="D441" t="s">
        <v>19</v>
      </c>
      <c r="E441" s="2">
        <v>44323</v>
      </c>
      <c r="F441">
        <v>4</v>
      </c>
      <c r="G441" t="s">
        <v>34</v>
      </c>
      <c r="H441" t="s">
        <v>54</v>
      </c>
      <c r="I441" t="s">
        <v>325</v>
      </c>
      <c r="J441" t="s">
        <v>328</v>
      </c>
      <c r="K441" t="s">
        <v>332</v>
      </c>
      <c r="L441" t="s">
        <v>341</v>
      </c>
      <c r="M441" t="s">
        <v>348</v>
      </c>
      <c r="N441" t="s">
        <v>350</v>
      </c>
      <c r="O441" t="s">
        <v>354</v>
      </c>
      <c r="P441" t="s">
        <v>362</v>
      </c>
      <c r="Q441">
        <v>480.64</v>
      </c>
      <c r="R441">
        <v>3</v>
      </c>
      <c r="S441">
        <v>-134.88999999999999</v>
      </c>
    </row>
    <row r="442" spans="1:19" x14ac:dyDescent="0.25">
      <c r="A442">
        <v>441</v>
      </c>
      <c r="B442" s="2">
        <v>44792</v>
      </c>
      <c r="C442">
        <v>2022</v>
      </c>
      <c r="D442" t="s">
        <v>27</v>
      </c>
      <c r="E442" s="2">
        <v>44798</v>
      </c>
      <c r="F442">
        <v>6</v>
      </c>
      <c r="G442" t="s">
        <v>33</v>
      </c>
      <c r="H442" t="s">
        <v>166</v>
      </c>
      <c r="I442" t="s">
        <v>325</v>
      </c>
      <c r="J442" t="s">
        <v>328</v>
      </c>
      <c r="K442" t="s">
        <v>332</v>
      </c>
      <c r="L442" t="s">
        <v>341</v>
      </c>
      <c r="M442" t="s">
        <v>348</v>
      </c>
      <c r="N442" t="s">
        <v>351</v>
      </c>
      <c r="O442" t="s">
        <v>356</v>
      </c>
      <c r="P442" t="s">
        <v>362</v>
      </c>
      <c r="Q442">
        <v>211.87</v>
      </c>
      <c r="R442">
        <v>2</v>
      </c>
      <c r="S442">
        <v>91.6</v>
      </c>
    </row>
    <row r="443" spans="1:19" x14ac:dyDescent="0.25">
      <c r="A443">
        <v>442</v>
      </c>
      <c r="B443" s="2">
        <v>45054</v>
      </c>
      <c r="C443">
        <v>2023</v>
      </c>
      <c r="D443" t="s">
        <v>19</v>
      </c>
      <c r="E443" s="2">
        <v>45056</v>
      </c>
      <c r="F443">
        <v>2</v>
      </c>
      <c r="G443" t="s">
        <v>31</v>
      </c>
      <c r="H443" t="s">
        <v>263</v>
      </c>
      <c r="I443" t="s">
        <v>323</v>
      </c>
      <c r="J443" t="s">
        <v>327</v>
      </c>
      <c r="K443" t="s">
        <v>337</v>
      </c>
      <c r="L443" t="s">
        <v>344</v>
      </c>
      <c r="M443" t="s">
        <v>347</v>
      </c>
      <c r="N443" t="s">
        <v>352</v>
      </c>
      <c r="O443" t="s">
        <v>357</v>
      </c>
      <c r="P443" t="s">
        <v>362</v>
      </c>
      <c r="Q443">
        <v>176.06</v>
      </c>
      <c r="R443">
        <v>5</v>
      </c>
      <c r="S443">
        <v>-31.6</v>
      </c>
    </row>
    <row r="444" spans="1:19" x14ac:dyDescent="0.25">
      <c r="A444">
        <v>443</v>
      </c>
      <c r="B444" s="2">
        <v>45499</v>
      </c>
      <c r="C444">
        <v>2024</v>
      </c>
      <c r="D444" t="s">
        <v>20</v>
      </c>
      <c r="E444" s="2">
        <v>45509</v>
      </c>
      <c r="F444">
        <v>10</v>
      </c>
      <c r="G444" t="s">
        <v>34</v>
      </c>
      <c r="H444" t="s">
        <v>146</v>
      </c>
      <c r="I444" t="s">
        <v>325</v>
      </c>
      <c r="J444" t="s">
        <v>328</v>
      </c>
      <c r="K444" t="s">
        <v>335</v>
      </c>
      <c r="L444" t="s">
        <v>335</v>
      </c>
      <c r="M444" t="s">
        <v>345</v>
      </c>
      <c r="N444" t="s">
        <v>350</v>
      </c>
      <c r="O444" t="s">
        <v>354</v>
      </c>
      <c r="P444" t="s">
        <v>362</v>
      </c>
      <c r="Q444">
        <v>235.24</v>
      </c>
      <c r="R444">
        <v>5</v>
      </c>
      <c r="S444">
        <v>-26.98</v>
      </c>
    </row>
    <row r="445" spans="1:19" x14ac:dyDescent="0.25">
      <c r="A445">
        <v>444</v>
      </c>
      <c r="B445" s="2">
        <v>45789</v>
      </c>
      <c r="C445">
        <v>2025</v>
      </c>
      <c r="D445" t="s">
        <v>19</v>
      </c>
      <c r="E445" s="2">
        <v>45792</v>
      </c>
      <c r="F445">
        <v>3</v>
      </c>
      <c r="G445" t="s">
        <v>31</v>
      </c>
      <c r="H445" t="s">
        <v>159</v>
      </c>
      <c r="I445" t="s">
        <v>323</v>
      </c>
      <c r="J445" t="s">
        <v>328</v>
      </c>
      <c r="K445" t="s">
        <v>335</v>
      </c>
      <c r="L445" t="s">
        <v>335</v>
      </c>
      <c r="M445" t="s">
        <v>345</v>
      </c>
      <c r="N445" t="s">
        <v>351</v>
      </c>
      <c r="O445" t="s">
        <v>356</v>
      </c>
      <c r="P445" t="s">
        <v>362</v>
      </c>
      <c r="Q445">
        <v>55.38</v>
      </c>
      <c r="R445">
        <v>3</v>
      </c>
      <c r="S445">
        <v>-3.62</v>
      </c>
    </row>
    <row r="446" spans="1:19" x14ac:dyDescent="0.25">
      <c r="A446">
        <v>445</v>
      </c>
      <c r="B446" s="2">
        <v>44969</v>
      </c>
      <c r="C446">
        <v>2023</v>
      </c>
      <c r="D446" t="s">
        <v>28</v>
      </c>
      <c r="E446" s="2">
        <v>44974</v>
      </c>
      <c r="F446">
        <v>5</v>
      </c>
      <c r="G446" t="s">
        <v>33</v>
      </c>
      <c r="H446" t="s">
        <v>216</v>
      </c>
      <c r="I446" t="s">
        <v>325</v>
      </c>
      <c r="J446" t="s">
        <v>326</v>
      </c>
      <c r="K446" t="s">
        <v>333</v>
      </c>
      <c r="L446" t="s">
        <v>342</v>
      </c>
      <c r="M446" t="s">
        <v>345</v>
      </c>
      <c r="N446" t="s">
        <v>350</v>
      </c>
      <c r="O446" t="s">
        <v>354</v>
      </c>
      <c r="P446" t="s">
        <v>362</v>
      </c>
      <c r="Q446">
        <v>192.4</v>
      </c>
      <c r="R446">
        <v>3</v>
      </c>
      <c r="S446">
        <v>-14.93</v>
      </c>
    </row>
    <row r="447" spans="1:19" x14ac:dyDescent="0.25">
      <c r="A447">
        <v>446</v>
      </c>
      <c r="B447" s="2">
        <v>45646</v>
      </c>
      <c r="C447">
        <v>2024</v>
      </c>
      <c r="D447" t="s">
        <v>29</v>
      </c>
      <c r="E447" s="2">
        <v>45648</v>
      </c>
      <c r="F447">
        <v>2</v>
      </c>
      <c r="G447" t="s">
        <v>31</v>
      </c>
      <c r="H447" t="s">
        <v>232</v>
      </c>
      <c r="I447" t="s">
        <v>324</v>
      </c>
      <c r="J447" t="s">
        <v>328</v>
      </c>
      <c r="K447" t="s">
        <v>336</v>
      </c>
      <c r="L447" t="s">
        <v>343</v>
      </c>
      <c r="M447" t="s">
        <v>347</v>
      </c>
      <c r="N447" t="s">
        <v>352</v>
      </c>
      <c r="O447" t="s">
        <v>358</v>
      </c>
      <c r="P447" t="s">
        <v>359</v>
      </c>
      <c r="Q447">
        <v>77.3</v>
      </c>
      <c r="R447">
        <v>8</v>
      </c>
      <c r="S447">
        <v>32.770000000000003</v>
      </c>
    </row>
    <row r="448" spans="1:19" x14ac:dyDescent="0.25">
      <c r="A448">
        <v>447</v>
      </c>
      <c r="B448" s="2">
        <v>44277</v>
      </c>
      <c r="C448">
        <v>2021</v>
      </c>
      <c r="D448" t="s">
        <v>24</v>
      </c>
      <c r="E448" s="2">
        <v>44285</v>
      </c>
      <c r="F448">
        <v>8</v>
      </c>
      <c r="G448" t="s">
        <v>34</v>
      </c>
      <c r="H448" t="s">
        <v>229</v>
      </c>
      <c r="I448" t="s">
        <v>324</v>
      </c>
      <c r="J448" t="s">
        <v>326</v>
      </c>
      <c r="K448" t="s">
        <v>329</v>
      </c>
      <c r="L448" t="s">
        <v>338</v>
      </c>
      <c r="M448" t="s">
        <v>345</v>
      </c>
      <c r="N448" t="s">
        <v>351</v>
      </c>
      <c r="O448" t="s">
        <v>355</v>
      </c>
      <c r="P448" t="s">
        <v>361</v>
      </c>
      <c r="Q448">
        <v>337.45</v>
      </c>
      <c r="R448">
        <v>1</v>
      </c>
      <c r="S448">
        <v>11.94</v>
      </c>
    </row>
    <row r="449" spans="1:19" x14ac:dyDescent="0.25">
      <c r="A449">
        <v>448</v>
      </c>
      <c r="B449" s="2">
        <v>45220</v>
      </c>
      <c r="C449">
        <v>2023</v>
      </c>
      <c r="D449" t="s">
        <v>22</v>
      </c>
      <c r="E449" s="2">
        <v>45229</v>
      </c>
      <c r="F449">
        <v>9</v>
      </c>
      <c r="G449" t="s">
        <v>33</v>
      </c>
      <c r="H449" t="s">
        <v>184</v>
      </c>
      <c r="I449" t="s">
        <v>323</v>
      </c>
      <c r="J449" t="s">
        <v>326</v>
      </c>
      <c r="K449" t="s">
        <v>331</v>
      </c>
      <c r="L449" t="s">
        <v>340</v>
      </c>
      <c r="M449" t="s">
        <v>347</v>
      </c>
      <c r="N449" t="s">
        <v>352</v>
      </c>
      <c r="O449" t="s">
        <v>358</v>
      </c>
      <c r="P449" t="s">
        <v>362</v>
      </c>
      <c r="Q449">
        <v>440.54</v>
      </c>
      <c r="R449">
        <v>1</v>
      </c>
      <c r="S449">
        <v>85.59</v>
      </c>
    </row>
    <row r="450" spans="1:19" x14ac:dyDescent="0.25">
      <c r="A450">
        <v>449</v>
      </c>
      <c r="B450" s="2">
        <v>45978</v>
      </c>
      <c r="C450">
        <v>2025</v>
      </c>
      <c r="D450" t="s">
        <v>30</v>
      </c>
      <c r="E450" s="2">
        <v>45980</v>
      </c>
      <c r="F450">
        <v>2</v>
      </c>
      <c r="G450" t="s">
        <v>32</v>
      </c>
      <c r="H450" t="s">
        <v>224</v>
      </c>
      <c r="I450" t="s">
        <v>325</v>
      </c>
      <c r="J450" t="s">
        <v>328</v>
      </c>
      <c r="K450" t="s">
        <v>335</v>
      </c>
      <c r="L450" t="s">
        <v>335</v>
      </c>
      <c r="M450" t="s">
        <v>345</v>
      </c>
      <c r="N450" t="s">
        <v>351</v>
      </c>
      <c r="O450" t="s">
        <v>356</v>
      </c>
      <c r="P450" t="s">
        <v>362</v>
      </c>
      <c r="Q450">
        <v>261.99</v>
      </c>
      <c r="R450">
        <v>5</v>
      </c>
      <c r="S450">
        <v>114</v>
      </c>
    </row>
    <row r="451" spans="1:19" x14ac:dyDescent="0.25">
      <c r="A451">
        <v>450</v>
      </c>
      <c r="B451" s="2">
        <v>44237</v>
      </c>
      <c r="C451">
        <v>2021</v>
      </c>
      <c r="D451" t="s">
        <v>28</v>
      </c>
      <c r="E451" s="2">
        <v>44244</v>
      </c>
      <c r="F451">
        <v>7</v>
      </c>
      <c r="G451" t="s">
        <v>31</v>
      </c>
      <c r="H451" t="s">
        <v>264</v>
      </c>
      <c r="I451" t="s">
        <v>323</v>
      </c>
      <c r="J451" t="s">
        <v>326</v>
      </c>
      <c r="K451" t="s">
        <v>331</v>
      </c>
      <c r="L451" t="s">
        <v>340</v>
      </c>
      <c r="M451" t="s">
        <v>347</v>
      </c>
      <c r="N451" t="s">
        <v>352</v>
      </c>
      <c r="O451" t="s">
        <v>357</v>
      </c>
      <c r="P451" t="s">
        <v>362</v>
      </c>
      <c r="Q451">
        <v>131.72999999999999</v>
      </c>
      <c r="R451">
        <v>10</v>
      </c>
      <c r="S451">
        <v>-22.62</v>
      </c>
    </row>
    <row r="452" spans="1:19" x14ac:dyDescent="0.25">
      <c r="A452">
        <v>451</v>
      </c>
      <c r="B452" s="2">
        <v>45612</v>
      </c>
      <c r="C452">
        <v>2024</v>
      </c>
      <c r="D452" t="s">
        <v>30</v>
      </c>
      <c r="E452" s="2">
        <v>45619</v>
      </c>
      <c r="F452">
        <v>7</v>
      </c>
      <c r="G452" t="s">
        <v>33</v>
      </c>
      <c r="H452" t="s">
        <v>257</v>
      </c>
      <c r="I452" t="s">
        <v>325</v>
      </c>
      <c r="J452" t="s">
        <v>326</v>
      </c>
      <c r="K452" t="s">
        <v>331</v>
      </c>
      <c r="L452" t="s">
        <v>340</v>
      </c>
      <c r="M452" t="s">
        <v>347</v>
      </c>
      <c r="N452" t="s">
        <v>352</v>
      </c>
      <c r="O452" t="s">
        <v>357</v>
      </c>
      <c r="P452" t="s">
        <v>361</v>
      </c>
      <c r="Q452">
        <v>123.11</v>
      </c>
      <c r="R452">
        <v>3</v>
      </c>
      <c r="S452">
        <v>-5.58</v>
      </c>
    </row>
    <row r="453" spans="1:19" x14ac:dyDescent="0.25">
      <c r="A453">
        <v>452</v>
      </c>
      <c r="B453" s="2">
        <v>44526</v>
      </c>
      <c r="C453">
        <v>2021</v>
      </c>
      <c r="D453" t="s">
        <v>30</v>
      </c>
      <c r="E453" s="2">
        <v>44531</v>
      </c>
      <c r="F453">
        <v>5</v>
      </c>
      <c r="G453" t="s">
        <v>34</v>
      </c>
      <c r="H453" t="s">
        <v>117</v>
      </c>
      <c r="I453" t="s">
        <v>325</v>
      </c>
      <c r="J453" t="s">
        <v>326</v>
      </c>
      <c r="K453" t="s">
        <v>331</v>
      </c>
      <c r="L453" t="s">
        <v>340</v>
      </c>
      <c r="M453" t="s">
        <v>347</v>
      </c>
      <c r="N453" t="s">
        <v>350</v>
      </c>
      <c r="O453" t="s">
        <v>353</v>
      </c>
      <c r="P453" t="s">
        <v>359</v>
      </c>
      <c r="Q453">
        <v>354.2</v>
      </c>
      <c r="R453">
        <v>8</v>
      </c>
      <c r="S453">
        <v>-34.49</v>
      </c>
    </row>
    <row r="454" spans="1:19" x14ac:dyDescent="0.25">
      <c r="A454">
        <v>453</v>
      </c>
      <c r="B454" s="2">
        <v>45671</v>
      </c>
      <c r="C454">
        <v>2025</v>
      </c>
      <c r="D454" t="s">
        <v>23</v>
      </c>
      <c r="E454" s="2">
        <v>45673</v>
      </c>
      <c r="F454">
        <v>2</v>
      </c>
      <c r="G454" t="s">
        <v>34</v>
      </c>
      <c r="H454" t="s">
        <v>59</v>
      </c>
      <c r="I454" t="s">
        <v>324</v>
      </c>
      <c r="J454" t="s">
        <v>327</v>
      </c>
      <c r="K454" t="s">
        <v>337</v>
      </c>
      <c r="L454" t="s">
        <v>344</v>
      </c>
      <c r="M454" t="s">
        <v>347</v>
      </c>
      <c r="N454" t="s">
        <v>352</v>
      </c>
      <c r="O454" t="s">
        <v>358</v>
      </c>
      <c r="P454" t="s">
        <v>359</v>
      </c>
      <c r="Q454">
        <v>354.63</v>
      </c>
      <c r="R454">
        <v>5</v>
      </c>
      <c r="S454">
        <v>73.8</v>
      </c>
    </row>
    <row r="455" spans="1:19" x14ac:dyDescent="0.25">
      <c r="A455">
        <v>454</v>
      </c>
      <c r="B455" s="2">
        <v>45333</v>
      </c>
      <c r="C455">
        <v>2024</v>
      </c>
      <c r="D455" t="s">
        <v>28</v>
      </c>
      <c r="E455" s="2">
        <v>45335</v>
      </c>
      <c r="F455">
        <v>2</v>
      </c>
      <c r="G455" t="s">
        <v>34</v>
      </c>
      <c r="H455" t="s">
        <v>63</v>
      </c>
      <c r="I455" t="s">
        <v>325</v>
      </c>
      <c r="J455" t="s">
        <v>326</v>
      </c>
      <c r="K455" t="s">
        <v>333</v>
      </c>
      <c r="L455" t="s">
        <v>342</v>
      </c>
      <c r="M455" t="s">
        <v>345</v>
      </c>
      <c r="N455" t="s">
        <v>350</v>
      </c>
      <c r="O455" t="s">
        <v>354</v>
      </c>
      <c r="P455" t="s">
        <v>360</v>
      </c>
      <c r="Q455">
        <v>167.94</v>
      </c>
      <c r="R455">
        <v>7</v>
      </c>
      <c r="S455">
        <v>57.89</v>
      </c>
    </row>
    <row r="456" spans="1:19" x14ac:dyDescent="0.25">
      <c r="A456">
        <v>455</v>
      </c>
      <c r="B456" s="2">
        <v>44206</v>
      </c>
      <c r="C456">
        <v>2021</v>
      </c>
      <c r="D456" t="s">
        <v>23</v>
      </c>
      <c r="E456" s="2">
        <v>44209</v>
      </c>
      <c r="F456">
        <v>3</v>
      </c>
      <c r="G456" t="s">
        <v>32</v>
      </c>
      <c r="H456" t="s">
        <v>65</v>
      </c>
      <c r="I456" t="s">
        <v>323</v>
      </c>
      <c r="J456" t="s">
        <v>326</v>
      </c>
      <c r="K456" t="s">
        <v>329</v>
      </c>
      <c r="L456" t="s">
        <v>338</v>
      </c>
      <c r="M456" t="s">
        <v>345</v>
      </c>
      <c r="N456" t="s">
        <v>351</v>
      </c>
      <c r="O456" t="s">
        <v>356</v>
      </c>
      <c r="P456" t="s">
        <v>359</v>
      </c>
      <c r="Q456">
        <v>109.6</v>
      </c>
      <c r="R456">
        <v>3</v>
      </c>
      <c r="S456">
        <v>41.8</v>
      </c>
    </row>
    <row r="457" spans="1:19" x14ac:dyDescent="0.25">
      <c r="A457">
        <v>456</v>
      </c>
      <c r="B457" s="2">
        <v>45105</v>
      </c>
      <c r="C457">
        <v>2023</v>
      </c>
      <c r="D457" t="s">
        <v>21</v>
      </c>
      <c r="E457" s="2">
        <v>45113</v>
      </c>
      <c r="F457">
        <v>8</v>
      </c>
      <c r="G457" t="s">
        <v>31</v>
      </c>
      <c r="H457" t="s">
        <v>138</v>
      </c>
      <c r="I457" t="s">
        <v>325</v>
      </c>
      <c r="J457" t="s">
        <v>327</v>
      </c>
      <c r="K457" t="s">
        <v>334</v>
      </c>
      <c r="L457" t="s">
        <v>334</v>
      </c>
      <c r="M457" t="s">
        <v>349</v>
      </c>
      <c r="N457" t="s">
        <v>350</v>
      </c>
      <c r="O457" t="s">
        <v>354</v>
      </c>
      <c r="P457" t="s">
        <v>362</v>
      </c>
      <c r="Q457">
        <v>184.94</v>
      </c>
      <c r="R457">
        <v>7</v>
      </c>
      <c r="S457">
        <v>29.02</v>
      </c>
    </row>
    <row r="458" spans="1:19" x14ac:dyDescent="0.25">
      <c r="A458">
        <v>457</v>
      </c>
      <c r="B458" s="2">
        <v>44220</v>
      </c>
      <c r="C458">
        <v>2021</v>
      </c>
      <c r="D458" t="s">
        <v>23</v>
      </c>
      <c r="E458" s="2">
        <v>44230</v>
      </c>
      <c r="F458">
        <v>10</v>
      </c>
      <c r="G458" t="s">
        <v>33</v>
      </c>
      <c r="H458" t="s">
        <v>249</v>
      </c>
      <c r="I458" t="s">
        <v>323</v>
      </c>
      <c r="J458" t="s">
        <v>326</v>
      </c>
      <c r="K458" t="s">
        <v>331</v>
      </c>
      <c r="L458" t="s">
        <v>340</v>
      </c>
      <c r="M458" t="s">
        <v>347</v>
      </c>
      <c r="N458" t="s">
        <v>352</v>
      </c>
      <c r="O458" t="s">
        <v>357</v>
      </c>
      <c r="P458" t="s">
        <v>359</v>
      </c>
      <c r="Q458">
        <v>313.43</v>
      </c>
      <c r="R458">
        <v>6</v>
      </c>
      <c r="S458">
        <v>-29.73</v>
      </c>
    </row>
    <row r="459" spans="1:19" x14ac:dyDescent="0.25">
      <c r="A459">
        <v>458</v>
      </c>
      <c r="B459" s="2">
        <v>44677</v>
      </c>
      <c r="C459">
        <v>2022</v>
      </c>
      <c r="D459" t="s">
        <v>26</v>
      </c>
      <c r="E459" s="2">
        <v>44686</v>
      </c>
      <c r="F459">
        <v>9</v>
      </c>
      <c r="G459" t="s">
        <v>33</v>
      </c>
      <c r="H459" t="s">
        <v>191</v>
      </c>
      <c r="I459" t="s">
        <v>325</v>
      </c>
      <c r="J459" t="s">
        <v>326</v>
      </c>
      <c r="K459" t="s">
        <v>333</v>
      </c>
      <c r="L459" t="s">
        <v>342</v>
      </c>
      <c r="M459" t="s">
        <v>345</v>
      </c>
      <c r="N459" t="s">
        <v>350</v>
      </c>
      <c r="O459" t="s">
        <v>354</v>
      </c>
      <c r="P459" t="s">
        <v>361</v>
      </c>
      <c r="Q459">
        <v>362.21</v>
      </c>
      <c r="R459">
        <v>9</v>
      </c>
      <c r="S459">
        <v>72.709999999999994</v>
      </c>
    </row>
    <row r="460" spans="1:19" x14ac:dyDescent="0.25">
      <c r="A460">
        <v>459</v>
      </c>
      <c r="B460" s="2">
        <v>45561</v>
      </c>
      <c r="C460">
        <v>2024</v>
      </c>
      <c r="D460" t="s">
        <v>25</v>
      </c>
      <c r="E460" s="2">
        <v>45563</v>
      </c>
      <c r="F460">
        <v>2</v>
      </c>
      <c r="G460" t="s">
        <v>32</v>
      </c>
      <c r="H460" t="s">
        <v>265</v>
      </c>
      <c r="I460" t="s">
        <v>323</v>
      </c>
      <c r="J460" t="s">
        <v>326</v>
      </c>
      <c r="K460" t="s">
        <v>329</v>
      </c>
      <c r="L460" t="s">
        <v>338</v>
      </c>
      <c r="M460" t="s">
        <v>345</v>
      </c>
      <c r="N460" t="s">
        <v>350</v>
      </c>
      <c r="O460" t="s">
        <v>354</v>
      </c>
      <c r="P460" t="s">
        <v>360</v>
      </c>
      <c r="Q460">
        <v>245.54</v>
      </c>
      <c r="R460">
        <v>10</v>
      </c>
      <c r="S460">
        <v>100.56</v>
      </c>
    </row>
    <row r="461" spans="1:19" x14ac:dyDescent="0.25">
      <c r="A461">
        <v>460</v>
      </c>
      <c r="B461" s="2">
        <v>43967</v>
      </c>
      <c r="C461">
        <v>2020</v>
      </c>
      <c r="D461" t="s">
        <v>19</v>
      </c>
      <c r="E461" s="2">
        <v>43968</v>
      </c>
      <c r="F461">
        <v>1</v>
      </c>
      <c r="G461" t="s">
        <v>33</v>
      </c>
      <c r="H461" t="s">
        <v>266</v>
      </c>
      <c r="I461" t="s">
        <v>324</v>
      </c>
      <c r="J461" t="s">
        <v>326</v>
      </c>
      <c r="K461" t="s">
        <v>329</v>
      </c>
      <c r="L461" t="s">
        <v>338</v>
      </c>
      <c r="M461" t="s">
        <v>345</v>
      </c>
      <c r="N461" t="s">
        <v>351</v>
      </c>
      <c r="O461" t="s">
        <v>355</v>
      </c>
      <c r="P461" t="s">
        <v>362</v>
      </c>
      <c r="Q461">
        <v>43.54</v>
      </c>
      <c r="R461">
        <v>7</v>
      </c>
      <c r="S461">
        <v>5.83</v>
      </c>
    </row>
    <row r="462" spans="1:19" x14ac:dyDescent="0.25">
      <c r="A462">
        <v>461</v>
      </c>
      <c r="B462" s="2">
        <v>44655</v>
      </c>
      <c r="C462">
        <v>2022</v>
      </c>
      <c r="D462" t="s">
        <v>26</v>
      </c>
      <c r="E462" s="2">
        <v>44664</v>
      </c>
      <c r="F462">
        <v>9</v>
      </c>
      <c r="G462" t="s">
        <v>32</v>
      </c>
      <c r="H462" t="s">
        <v>93</v>
      </c>
      <c r="I462" t="s">
        <v>323</v>
      </c>
      <c r="J462" t="s">
        <v>328</v>
      </c>
      <c r="K462" t="s">
        <v>336</v>
      </c>
      <c r="L462" t="s">
        <v>343</v>
      </c>
      <c r="M462" t="s">
        <v>347</v>
      </c>
      <c r="N462" t="s">
        <v>350</v>
      </c>
      <c r="O462" t="s">
        <v>353</v>
      </c>
      <c r="P462" t="s">
        <v>362</v>
      </c>
      <c r="Q462">
        <v>179.97</v>
      </c>
      <c r="R462">
        <v>9</v>
      </c>
      <c r="S462">
        <v>34.33</v>
      </c>
    </row>
    <row r="463" spans="1:19" x14ac:dyDescent="0.25">
      <c r="A463">
        <v>462</v>
      </c>
      <c r="B463" s="2">
        <v>43916</v>
      </c>
      <c r="C463">
        <v>2020</v>
      </c>
      <c r="D463" t="s">
        <v>24</v>
      </c>
      <c r="E463" s="2">
        <v>43920</v>
      </c>
      <c r="F463">
        <v>4</v>
      </c>
      <c r="G463" t="s">
        <v>33</v>
      </c>
      <c r="H463" t="s">
        <v>200</v>
      </c>
      <c r="I463" t="s">
        <v>325</v>
      </c>
      <c r="J463" t="s">
        <v>326</v>
      </c>
      <c r="K463" t="s">
        <v>331</v>
      </c>
      <c r="L463" t="s">
        <v>340</v>
      </c>
      <c r="M463" t="s">
        <v>347</v>
      </c>
      <c r="N463" t="s">
        <v>352</v>
      </c>
      <c r="O463" t="s">
        <v>357</v>
      </c>
      <c r="P463" t="s">
        <v>359</v>
      </c>
      <c r="Q463">
        <v>220.5</v>
      </c>
      <c r="R463">
        <v>10</v>
      </c>
      <c r="S463">
        <v>89.97</v>
      </c>
    </row>
    <row r="464" spans="1:19" x14ac:dyDescent="0.25">
      <c r="A464">
        <v>463</v>
      </c>
      <c r="B464" s="2">
        <v>44526</v>
      </c>
      <c r="C464">
        <v>2021</v>
      </c>
      <c r="D464" t="s">
        <v>30</v>
      </c>
      <c r="E464" s="2">
        <v>44528</v>
      </c>
      <c r="F464">
        <v>2</v>
      </c>
      <c r="G464" t="s">
        <v>31</v>
      </c>
      <c r="H464" t="s">
        <v>187</v>
      </c>
      <c r="I464" t="s">
        <v>324</v>
      </c>
      <c r="J464" t="s">
        <v>327</v>
      </c>
      <c r="K464" t="s">
        <v>330</v>
      </c>
      <c r="L464" t="s">
        <v>339</v>
      </c>
      <c r="M464" t="s">
        <v>346</v>
      </c>
      <c r="N464" t="s">
        <v>351</v>
      </c>
      <c r="O464" t="s">
        <v>356</v>
      </c>
      <c r="P464" t="s">
        <v>361</v>
      </c>
      <c r="Q464">
        <v>50.59</v>
      </c>
      <c r="R464">
        <v>3</v>
      </c>
      <c r="S464">
        <v>-2.9</v>
      </c>
    </row>
    <row r="465" spans="1:19" x14ac:dyDescent="0.25">
      <c r="A465">
        <v>464</v>
      </c>
      <c r="B465" s="2">
        <v>43933</v>
      </c>
      <c r="C465">
        <v>2020</v>
      </c>
      <c r="D465" t="s">
        <v>26</v>
      </c>
      <c r="E465" s="2">
        <v>43936</v>
      </c>
      <c r="F465">
        <v>3</v>
      </c>
      <c r="G465" t="s">
        <v>31</v>
      </c>
      <c r="H465" t="s">
        <v>162</v>
      </c>
      <c r="I465" t="s">
        <v>324</v>
      </c>
      <c r="J465" t="s">
        <v>328</v>
      </c>
      <c r="K465" t="s">
        <v>335</v>
      </c>
      <c r="L465" t="s">
        <v>335</v>
      </c>
      <c r="M465" t="s">
        <v>345</v>
      </c>
      <c r="N465" t="s">
        <v>350</v>
      </c>
      <c r="O465" t="s">
        <v>353</v>
      </c>
      <c r="P465" t="s">
        <v>360</v>
      </c>
      <c r="Q465">
        <v>45.89</v>
      </c>
      <c r="R465">
        <v>9</v>
      </c>
      <c r="S465">
        <v>10.02</v>
      </c>
    </row>
    <row r="466" spans="1:19" x14ac:dyDescent="0.25">
      <c r="A466">
        <v>465</v>
      </c>
      <c r="B466" s="2">
        <v>44870</v>
      </c>
      <c r="C466">
        <v>2022</v>
      </c>
      <c r="D466" t="s">
        <v>30</v>
      </c>
      <c r="E466" s="2">
        <v>44880</v>
      </c>
      <c r="F466">
        <v>10</v>
      </c>
      <c r="G466" t="s">
        <v>31</v>
      </c>
      <c r="H466" t="s">
        <v>267</v>
      </c>
      <c r="I466" t="s">
        <v>324</v>
      </c>
      <c r="J466" t="s">
        <v>328</v>
      </c>
      <c r="K466" t="s">
        <v>335</v>
      </c>
      <c r="L466" t="s">
        <v>335</v>
      </c>
      <c r="M466" t="s">
        <v>345</v>
      </c>
      <c r="N466" t="s">
        <v>350</v>
      </c>
      <c r="O466" t="s">
        <v>353</v>
      </c>
      <c r="P466" t="s">
        <v>361</v>
      </c>
      <c r="Q466">
        <v>301.62</v>
      </c>
      <c r="R466">
        <v>4</v>
      </c>
      <c r="S466">
        <v>-38.47</v>
      </c>
    </row>
    <row r="467" spans="1:19" x14ac:dyDescent="0.25">
      <c r="A467">
        <v>466</v>
      </c>
      <c r="B467" s="2">
        <v>43954</v>
      </c>
      <c r="C467">
        <v>2020</v>
      </c>
      <c r="D467" t="s">
        <v>19</v>
      </c>
      <c r="E467" s="2">
        <v>43957</v>
      </c>
      <c r="F467">
        <v>3</v>
      </c>
      <c r="G467" t="s">
        <v>33</v>
      </c>
      <c r="H467" t="s">
        <v>268</v>
      </c>
      <c r="I467" t="s">
        <v>323</v>
      </c>
      <c r="J467" t="s">
        <v>327</v>
      </c>
      <c r="K467" t="s">
        <v>330</v>
      </c>
      <c r="L467" t="s">
        <v>339</v>
      </c>
      <c r="M467" t="s">
        <v>346</v>
      </c>
      <c r="N467" t="s">
        <v>352</v>
      </c>
      <c r="O467" t="s">
        <v>358</v>
      </c>
      <c r="P467" t="s">
        <v>359</v>
      </c>
      <c r="Q467">
        <v>131.33000000000001</v>
      </c>
      <c r="R467">
        <v>2</v>
      </c>
      <c r="S467">
        <v>39.380000000000003</v>
      </c>
    </row>
    <row r="468" spans="1:19" x14ac:dyDescent="0.25">
      <c r="A468">
        <v>467</v>
      </c>
      <c r="B468" s="2">
        <v>45314</v>
      </c>
      <c r="C468">
        <v>2024</v>
      </c>
      <c r="D468" t="s">
        <v>23</v>
      </c>
      <c r="E468" s="2">
        <v>45316</v>
      </c>
      <c r="F468">
        <v>2</v>
      </c>
      <c r="G468" t="s">
        <v>34</v>
      </c>
      <c r="H468" t="s">
        <v>208</v>
      </c>
      <c r="I468" t="s">
        <v>325</v>
      </c>
      <c r="J468" t="s">
        <v>327</v>
      </c>
      <c r="K468" t="s">
        <v>334</v>
      </c>
      <c r="L468" t="s">
        <v>334</v>
      </c>
      <c r="M468" t="s">
        <v>349</v>
      </c>
      <c r="N468" t="s">
        <v>352</v>
      </c>
      <c r="O468" t="s">
        <v>357</v>
      </c>
      <c r="P468" t="s">
        <v>360</v>
      </c>
      <c r="Q468">
        <v>170.38</v>
      </c>
      <c r="R468">
        <v>4</v>
      </c>
      <c r="S468">
        <v>60.26</v>
      </c>
    </row>
    <row r="469" spans="1:19" x14ac:dyDescent="0.25">
      <c r="A469">
        <v>468</v>
      </c>
      <c r="B469" s="2">
        <v>44562</v>
      </c>
      <c r="C469">
        <v>2022</v>
      </c>
      <c r="D469" t="s">
        <v>23</v>
      </c>
      <c r="E469" s="2">
        <v>44568</v>
      </c>
      <c r="F469">
        <v>6</v>
      </c>
      <c r="G469" t="s">
        <v>32</v>
      </c>
      <c r="H469" t="s">
        <v>266</v>
      </c>
      <c r="I469" t="s">
        <v>324</v>
      </c>
      <c r="J469" t="s">
        <v>327</v>
      </c>
      <c r="K469" t="s">
        <v>330</v>
      </c>
      <c r="L469" t="s">
        <v>339</v>
      </c>
      <c r="M469" t="s">
        <v>346</v>
      </c>
      <c r="N469" t="s">
        <v>352</v>
      </c>
      <c r="O469" t="s">
        <v>357</v>
      </c>
      <c r="P469" t="s">
        <v>359</v>
      </c>
      <c r="Q469">
        <v>206.1</v>
      </c>
      <c r="R469">
        <v>7</v>
      </c>
      <c r="S469">
        <v>19.03</v>
      </c>
    </row>
    <row r="470" spans="1:19" x14ac:dyDescent="0.25">
      <c r="A470">
        <v>469</v>
      </c>
      <c r="B470" s="2">
        <v>45562</v>
      </c>
      <c r="C470">
        <v>2024</v>
      </c>
      <c r="D470" t="s">
        <v>25</v>
      </c>
      <c r="E470" s="2">
        <v>45564</v>
      </c>
      <c r="F470">
        <v>2</v>
      </c>
      <c r="G470" t="s">
        <v>33</v>
      </c>
      <c r="H470" t="s">
        <v>192</v>
      </c>
      <c r="I470" t="s">
        <v>324</v>
      </c>
      <c r="J470" t="s">
        <v>326</v>
      </c>
      <c r="K470" t="s">
        <v>333</v>
      </c>
      <c r="L470" t="s">
        <v>342</v>
      </c>
      <c r="M470" t="s">
        <v>345</v>
      </c>
      <c r="N470" t="s">
        <v>350</v>
      </c>
      <c r="O470" t="s">
        <v>353</v>
      </c>
      <c r="P470" t="s">
        <v>361</v>
      </c>
      <c r="Q470">
        <v>233.12</v>
      </c>
      <c r="R470">
        <v>2</v>
      </c>
      <c r="S470">
        <v>46.47</v>
      </c>
    </row>
    <row r="471" spans="1:19" x14ac:dyDescent="0.25">
      <c r="A471">
        <v>470</v>
      </c>
      <c r="B471" s="2">
        <v>45653</v>
      </c>
      <c r="C471">
        <v>2024</v>
      </c>
      <c r="D471" t="s">
        <v>29</v>
      </c>
      <c r="E471" s="2">
        <v>45662</v>
      </c>
      <c r="F471">
        <v>9</v>
      </c>
      <c r="G471" t="s">
        <v>33</v>
      </c>
      <c r="H471" t="s">
        <v>257</v>
      </c>
      <c r="I471" t="s">
        <v>323</v>
      </c>
      <c r="J471" t="s">
        <v>328</v>
      </c>
      <c r="K471" t="s">
        <v>332</v>
      </c>
      <c r="L471" t="s">
        <v>341</v>
      </c>
      <c r="M471" t="s">
        <v>348</v>
      </c>
      <c r="N471" t="s">
        <v>351</v>
      </c>
      <c r="O471" t="s">
        <v>356</v>
      </c>
      <c r="P471" t="s">
        <v>359</v>
      </c>
      <c r="Q471">
        <v>51.16</v>
      </c>
      <c r="R471">
        <v>2</v>
      </c>
      <c r="S471">
        <v>12.46</v>
      </c>
    </row>
    <row r="472" spans="1:19" x14ac:dyDescent="0.25">
      <c r="A472">
        <v>471</v>
      </c>
      <c r="B472" s="2">
        <v>45390</v>
      </c>
      <c r="C472">
        <v>2024</v>
      </c>
      <c r="D472" t="s">
        <v>26</v>
      </c>
      <c r="E472" s="2">
        <v>45392</v>
      </c>
      <c r="F472">
        <v>2</v>
      </c>
      <c r="G472" t="s">
        <v>31</v>
      </c>
      <c r="H472" t="s">
        <v>269</v>
      </c>
      <c r="I472" t="s">
        <v>324</v>
      </c>
      <c r="J472" t="s">
        <v>327</v>
      </c>
      <c r="K472" t="s">
        <v>337</v>
      </c>
      <c r="L472" t="s">
        <v>344</v>
      </c>
      <c r="M472" t="s">
        <v>347</v>
      </c>
      <c r="N472" t="s">
        <v>350</v>
      </c>
      <c r="O472" t="s">
        <v>353</v>
      </c>
      <c r="P472" t="s">
        <v>360</v>
      </c>
      <c r="Q472">
        <v>486.63</v>
      </c>
      <c r="R472">
        <v>6</v>
      </c>
      <c r="S472">
        <v>163.07</v>
      </c>
    </row>
    <row r="473" spans="1:19" x14ac:dyDescent="0.25">
      <c r="A473">
        <v>472</v>
      </c>
      <c r="B473" s="2">
        <v>44765</v>
      </c>
      <c r="C473">
        <v>2022</v>
      </c>
      <c r="D473" t="s">
        <v>20</v>
      </c>
      <c r="E473" s="2">
        <v>44768</v>
      </c>
      <c r="F473">
        <v>3</v>
      </c>
      <c r="G473" t="s">
        <v>34</v>
      </c>
      <c r="H473" t="s">
        <v>200</v>
      </c>
      <c r="I473" t="s">
        <v>325</v>
      </c>
      <c r="J473" t="s">
        <v>326</v>
      </c>
      <c r="K473" t="s">
        <v>333</v>
      </c>
      <c r="L473" t="s">
        <v>342</v>
      </c>
      <c r="M473" t="s">
        <v>345</v>
      </c>
      <c r="N473" t="s">
        <v>351</v>
      </c>
      <c r="O473" t="s">
        <v>356</v>
      </c>
      <c r="P473" t="s">
        <v>359</v>
      </c>
      <c r="Q473">
        <v>162.03</v>
      </c>
      <c r="R473">
        <v>9</v>
      </c>
      <c r="S473">
        <v>-22.49</v>
      </c>
    </row>
    <row r="474" spans="1:19" x14ac:dyDescent="0.25">
      <c r="A474">
        <v>473</v>
      </c>
      <c r="B474" s="2">
        <v>44570</v>
      </c>
      <c r="C474">
        <v>2022</v>
      </c>
      <c r="D474" t="s">
        <v>23</v>
      </c>
      <c r="E474" s="2">
        <v>44578</v>
      </c>
      <c r="F474">
        <v>8</v>
      </c>
      <c r="G474" t="s">
        <v>34</v>
      </c>
      <c r="H474" t="s">
        <v>142</v>
      </c>
      <c r="I474" t="s">
        <v>325</v>
      </c>
      <c r="J474" t="s">
        <v>328</v>
      </c>
      <c r="K474" t="s">
        <v>335</v>
      </c>
      <c r="L474" t="s">
        <v>335</v>
      </c>
      <c r="M474" t="s">
        <v>345</v>
      </c>
      <c r="N474" t="s">
        <v>352</v>
      </c>
      <c r="O474" t="s">
        <v>357</v>
      </c>
      <c r="P474" t="s">
        <v>362</v>
      </c>
      <c r="Q474">
        <v>163.55000000000001</v>
      </c>
      <c r="R474">
        <v>4</v>
      </c>
      <c r="S474">
        <v>-13.21</v>
      </c>
    </row>
    <row r="475" spans="1:19" x14ac:dyDescent="0.25">
      <c r="A475">
        <v>474</v>
      </c>
      <c r="B475" s="2">
        <v>44463</v>
      </c>
      <c r="C475">
        <v>2021</v>
      </c>
      <c r="D475" t="s">
        <v>25</v>
      </c>
      <c r="E475" s="2">
        <v>44473</v>
      </c>
      <c r="F475">
        <v>10</v>
      </c>
      <c r="G475" t="s">
        <v>33</v>
      </c>
      <c r="H475" t="s">
        <v>131</v>
      </c>
      <c r="I475" t="s">
        <v>325</v>
      </c>
      <c r="J475" t="s">
        <v>328</v>
      </c>
      <c r="K475" t="s">
        <v>332</v>
      </c>
      <c r="L475" t="s">
        <v>341</v>
      </c>
      <c r="M475" t="s">
        <v>348</v>
      </c>
      <c r="N475" t="s">
        <v>352</v>
      </c>
      <c r="O475" t="s">
        <v>357</v>
      </c>
      <c r="P475" t="s">
        <v>360</v>
      </c>
      <c r="Q475">
        <v>392.69</v>
      </c>
      <c r="R475">
        <v>10</v>
      </c>
      <c r="S475">
        <v>132.03</v>
      </c>
    </row>
    <row r="476" spans="1:19" x14ac:dyDescent="0.25">
      <c r="A476">
        <v>475</v>
      </c>
      <c r="B476" s="2">
        <v>45091</v>
      </c>
      <c r="C476">
        <v>2023</v>
      </c>
      <c r="D476" t="s">
        <v>21</v>
      </c>
      <c r="E476" s="2">
        <v>45099</v>
      </c>
      <c r="F476">
        <v>8</v>
      </c>
      <c r="G476" t="s">
        <v>34</v>
      </c>
      <c r="H476" t="s">
        <v>187</v>
      </c>
      <c r="I476" t="s">
        <v>323</v>
      </c>
      <c r="J476" t="s">
        <v>327</v>
      </c>
      <c r="K476" t="s">
        <v>337</v>
      </c>
      <c r="L476" t="s">
        <v>344</v>
      </c>
      <c r="M476" t="s">
        <v>347</v>
      </c>
      <c r="N476" t="s">
        <v>352</v>
      </c>
      <c r="O476" t="s">
        <v>358</v>
      </c>
      <c r="P476" t="s">
        <v>362</v>
      </c>
      <c r="Q476">
        <v>428.14</v>
      </c>
      <c r="R476">
        <v>6</v>
      </c>
      <c r="S476">
        <v>-87.54</v>
      </c>
    </row>
    <row r="477" spans="1:19" x14ac:dyDescent="0.25">
      <c r="A477">
        <v>476</v>
      </c>
      <c r="B477" s="2">
        <v>45907</v>
      </c>
      <c r="C477">
        <v>2025</v>
      </c>
      <c r="D477" t="s">
        <v>25</v>
      </c>
      <c r="E477" s="2">
        <v>45911</v>
      </c>
      <c r="F477">
        <v>4</v>
      </c>
      <c r="G477" t="s">
        <v>31</v>
      </c>
      <c r="H477" t="s">
        <v>270</v>
      </c>
      <c r="I477" t="s">
        <v>323</v>
      </c>
      <c r="J477" t="s">
        <v>327</v>
      </c>
      <c r="K477" t="s">
        <v>330</v>
      </c>
      <c r="L477" t="s">
        <v>339</v>
      </c>
      <c r="M477" t="s">
        <v>346</v>
      </c>
      <c r="N477" t="s">
        <v>352</v>
      </c>
      <c r="O477" t="s">
        <v>358</v>
      </c>
      <c r="P477" t="s">
        <v>362</v>
      </c>
      <c r="Q477">
        <v>83.47</v>
      </c>
      <c r="R477">
        <v>7</v>
      </c>
      <c r="S477">
        <v>8.24</v>
      </c>
    </row>
    <row r="478" spans="1:19" x14ac:dyDescent="0.25">
      <c r="A478">
        <v>477</v>
      </c>
      <c r="B478" s="2">
        <v>45807</v>
      </c>
      <c r="C478">
        <v>2025</v>
      </c>
      <c r="D478" t="s">
        <v>19</v>
      </c>
      <c r="E478" s="2">
        <v>45809</v>
      </c>
      <c r="F478">
        <v>2</v>
      </c>
      <c r="G478" t="s">
        <v>34</v>
      </c>
      <c r="H478" t="s">
        <v>171</v>
      </c>
      <c r="I478" t="s">
        <v>324</v>
      </c>
      <c r="J478" t="s">
        <v>327</v>
      </c>
      <c r="K478" t="s">
        <v>330</v>
      </c>
      <c r="L478" t="s">
        <v>339</v>
      </c>
      <c r="M478" t="s">
        <v>346</v>
      </c>
      <c r="N478" t="s">
        <v>352</v>
      </c>
      <c r="O478" t="s">
        <v>358</v>
      </c>
      <c r="P478" t="s">
        <v>359</v>
      </c>
      <c r="Q478">
        <v>144.27000000000001</v>
      </c>
      <c r="R478">
        <v>1</v>
      </c>
      <c r="S478">
        <v>-19.920000000000002</v>
      </c>
    </row>
    <row r="479" spans="1:19" x14ac:dyDescent="0.25">
      <c r="A479">
        <v>478</v>
      </c>
      <c r="B479" s="2">
        <v>45397</v>
      </c>
      <c r="C479">
        <v>2024</v>
      </c>
      <c r="D479" t="s">
        <v>26</v>
      </c>
      <c r="E479" s="2">
        <v>45407</v>
      </c>
      <c r="F479">
        <v>10</v>
      </c>
      <c r="G479" t="s">
        <v>33</v>
      </c>
      <c r="H479" t="s">
        <v>221</v>
      </c>
      <c r="I479" t="s">
        <v>325</v>
      </c>
      <c r="J479" t="s">
        <v>326</v>
      </c>
      <c r="K479" t="s">
        <v>329</v>
      </c>
      <c r="L479" t="s">
        <v>338</v>
      </c>
      <c r="M479" t="s">
        <v>345</v>
      </c>
      <c r="N479" t="s">
        <v>352</v>
      </c>
      <c r="O479" t="s">
        <v>358</v>
      </c>
      <c r="P479" t="s">
        <v>359</v>
      </c>
      <c r="Q479">
        <v>179.41</v>
      </c>
      <c r="R479">
        <v>3</v>
      </c>
      <c r="S479">
        <v>21.74</v>
      </c>
    </row>
    <row r="480" spans="1:19" x14ac:dyDescent="0.25">
      <c r="A480">
        <v>479</v>
      </c>
      <c r="B480" s="2">
        <v>44434</v>
      </c>
      <c r="C480">
        <v>2021</v>
      </c>
      <c r="D480" t="s">
        <v>27</v>
      </c>
      <c r="E480" s="2">
        <v>44444</v>
      </c>
      <c r="F480">
        <v>10</v>
      </c>
      <c r="G480" t="s">
        <v>31</v>
      </c>
      <c r="H480" t="s">
        <v>271</v>
      </c>
      <c r="I480" t="s">
        <v>323</v>
      </c>
      <c r="J480" t="s">
        <v>327</v>
      </c>
      <c r="K480" t="s">
        <v>334</v>
      </c>
      <c r="L480" t="s">
        <v>334</v>
      </c>
      <c r="M480" t="s">
        <v>349</v>
      </c>
      <c r="N480" t="s">
        <v>350</v>
      </c>
      <c r="O480" t="s">
        <v>353</v>
      </c>
      <c r="P480" t="s">
        <v>360</v>
      </c>
      <c r="Q480">
        <v>232.7</v>
      </c>
      <c r="R480">
        <v>4</v>
      </c>
      <c r="S480">
        <v>71.81</v>
      </c>
    </row>
    <row r="481" spans="1:19" x14ac:dyDescent="0.25">
      <c r="A481">
        <v>480</v>
      </c>
      <c r="B481" s="2">
        <v>44545</v>
      </c>
      <c r="C481">
        <v>2021</v>
      </c>
      <c r="D481" t="s">
        <v>29</v>
      </c>
      <c r="E481" s="2">
        <v>44551</v>
      </c>
      <c r="F481">
        <v>6</v>
      </c>
      <c r="G481" t="s">
        <v>33</v>
      </c>
      <c r="H481" t="s">
        <v>217</v>
      </c>
      <c r="I481" t="s">
        <v>323</v>
      </c>
      <c r="J481" t="s">
        <v>327</v>
      </c>
      <c r="K481" t="s">
        <v>334</v>
      </c>
      <c r="L481" t="s">
        <v>334</v>
      </c>
      <c r="M481" t="s">
        <v>349</v>
      </c>
      <c r="N481" t="s">
        <v>352</v>
      </c>
      <c r="O481" t="s">
        <v>357</v>
      </c>
      <c r="P481" t="s">
        <v>360</v>
      </c>
      <c r="Q481">
        <v>117.58</v>
      </c>
      <c r="R481">
        <v>10</v>
      </c>
      <c r="S481">
        <v>-13.38</v>
      </c>
    </row>
    <row r="482" spans="1:19" x14ac:dyDescent="0.25">
      <c r="A482">
        <v>481</v>
      </c>
      <c r="B482" s="2">
        <v>45747</v>
      </c>
      <c r="C482">
        <v>2025</v>
      </c>
      <c r="D482" t="s">
        <v>24</v>
      </c>
      <c r="E482" s="2">
        <v>45748</v>
      </c>
      <c r="F482">
        <v>1</v>
      </c>
      <c r="G482" t="s">
        <v>31</v>
      </c>
      <c r="H482" t="s">
        <v>166</v>
      </c>
      <c r="I482" t="s">
        <v>324</v>
      </c>
      <c r="J482" t="s">
        <v>327</v>
      </c>
      <c r="K482" t="s">
        <v>330</v>
      </c>
      <c r="L482" t="s">
        <v>339</v>
      </c>
      <c r="M482" t="s">
        <v>346</v>
      </c>
      <c r="N482" t="s">
        <v>351</v>
      </c>
      <c r="O482" t="s">
        <v>355</v>
      </c>
      <c r="P482" t="s">
        <v>359</v>
      </c>
      <c r="Q482">
        <v>187.74</v>
      </c>
      <c r="R482">
        <v>4</v>
      </c>
      <c r="S482">
        <v>35.630000000000003</v>
      </c>
    </row>
    <row r="483" spans="1:19" x14ac:dyDescent="0.25">
      <c r="A483">
        <v>482</v>
      </c>
      <c r="B483" s="2">
        <v>44609</v>
      </c>
      <c r="C483">
        <v>2022</v>
      </c>
      <c r="D483" t="s">
        <v>28</v>
      </c>
      <c r="E483" s="2">
        <v>44615</v>
      </c>
      <c r="F483">
        <v>6</v>
      </c>
      <c r="G483" t="s">
        <v>33</v>
      </c>
      <c r="H483" t="s">
        <v>106</v>
      </c>
      <c r="I483" t="s">
        <v>325</v>
      </c>
      <c r="J483" t="s">
        <v>326</v>
      </c>
      <c r="K483" t="s">
        <v>329</v>
      </c>
      <c r="L483" t="s">
        <v>338</v>
      </c>
      <c r="M483" t="s">
        <v>345</v>
      </c>
      <c r="N483" t="s">
        <v>352</v>
      </c>
      <c r="O483" t="s">
        <v>357</v>
      </c>
      <c r="P483" t="s">
        <v>361</v>
      </c>
      <c r="Q483">
        <v>400.87</v>
      </c>
      <c r="R483">
        <v>8</v>
      </c>
      <c r="S483">
        <v>-108.63</v>
      </c>
    </row>
    <row r="484" spans="1:19" x14ac:dyDescent="0.25">
      <c r="A484">
        <v>483</v>
      </c>
      <c r="B484" s="2">
        <v>46008</v>
      </c>
      <c r="C484">
        <v>2025</v>
      </c>
      <c r="D484" t="s">
        <v>29</v>
      </c>
      <c r="E484" s="2">
        <v>46017</v>
      </c>
      <c r="F484">
        <v>9</v>
      </c>
      <c r="G484" t="s">
        <v>32</v>
      </c>
      <c r="H484" t="s">
        <v>156</v>
      </c>
      <c r="I484" t="s">
        <v>325</v>
      </c>
      <c r="J484" t="s">
        <v>328</v>
      </c>
      <c r="K484" t="s">
        <v>336</v>
      </c>
      <c r="L484" t="s">
        <v>343</v>
      </c>
      <c r="M484" t="s">
        <v>347</v>
      </c>
      <c r="N484" t="s">
        <v>351</v>
      </c>
      <c r="O484" t="s">
        <v>355</v>
      </c>
      <c r="P484" t="s">
        <v>361</v>
      </c>
      <c r="Q484">
        <v>163.66999999999999</v>
      </c>
      <c r="R484">
        <v>1</v>
      </c>
      <c r="S484">
        <v>-34.92</v>
      </c>
    </row>
    <row r="485" spans="1:19" x14ac:dyDescent="0.25">
      <c r="A485">
        <v>484</v>
      </c>
      <c r="B485" s="2">
        <v>45706</v>
      </c>
      <c r="C485">
        <v>2025</v>
      </c>
      <c r="D485" t="s">
        <v>28</v>
      </c>
      <c r="E485" s="2">
        <v>45715</v>
      </c>
      <c r="F485">
        <v>9</v>
      </c>
      <c r="G485" t="s">
        <v>34</v>
      </c>
      <c r="H485" t="s">
        <v>265</v>
      </c>
      <c r="I485" t="s">
        <v>325</v>
      </c>
      <c r="J485" t="s">
        <v>326</v>
      </c>
      <c r="K485" t="s">
        <v>329</v>
      </c>
      <c r="L485" t="s">
        <v>338</v>
      </c>
      <c r="M485" t="s">
        <v>345</v>
      </c>
      <c r="N485" t="s">
        <v>352</v>
      </c>
      <c r="O485" t="s">
        <v>358</v>
      </c>
      <c r="P485" t="s">
        <v>360</v>
      </c>
      <c r="Q485">
        <v>479.73</v>
      </c>
      <c r="R485">
        <v>9</v>
      </c>
      <c r="S485">
        <v>152.1</v>
      </c>
    </row>
    <row r="486" spans="1:19" x14ac:dyDescent="0.25">
      <c r="A486">
        <v>485</v>
      </c>
      <c r="B486" s="2">
        <v>44143</v>
      </c>
      <c r="C486">
        <v>2020</v>
      </c>
      <c r="D486" t="s">
        <v>30</v>
      </c>
      <c r="E486" s="2">
        <v>44144</v>
      </c>
      <c r="F486">
        <v>1</v>
      </c>
      <c r="G486" t="s">
        <v>32</v>
      </c>
      <c r="H486" t="s">
        <v>216</v>
      </c>
      <c r="I486" t="s">
        <v>323</v>
      </c>
      <c r="J486" t="s">
        <v>328</v>
      </c>
      <c r="K486" t="s">
        <v>335</v>
      </c>
      <c r="L486" t="s">
        <v>335</v>
      </c>
      <c r="M486" t="s">
        <v>345</v>
      </c>
      <c r="N486" t="s">
        <v>350</v>
      </c>
      <c r="O486" t="s">
        <v>353</v>
      </c>
      <c r="P486" t="s">
        <v>362</v>
      </c>
      <c r="Q486">
        <v>55.15</v>
      </c>
      <c r="R486">
        <v>10</v>
      </c>
      <c r="S486">
        <v>3.56</v>
      </c>
    </row>
    <row r="487" spans="1:19" x14ac:dyDescent="0.25">
      <c r="A487">
        <v>486</v>
      </c>
      <c r="B487" s="2">
        <v>44549</v>
      </c>
      <c r="C487">
        <v>2021</v>
      </c>
      <c r="D487" t="s">
        <v>29</v>
      </c>
      <c r="E487" s="2">
        <v>44550</v>
      </c>
      <c r="F487">
        <v>1</v>
      </c>
      <c r="G487" t="s">
        <v>33</v>
      </c>
      <c r="H487" t="s">
        <v>75</v>
      </c>
      <c r="I487" t="s">
        <v>324</v>
      </c>
      <c r="J487" t="s">
        <v>326</v>
      </c>
      <c r="K487" t="s">
        <v>329</v>
      </c>
      <c r="L487" t="s">
        <v>338</v>
      </c>
      <c r="M487" t="s">
        <v>345</v>
      </c>
      <c r="N487" t="s">
        <v>352</v>
      </c>
      <c r="O487" t="s">
        <v>357</v>
      </c>
      <c r="P487" t="s">
        <v>359</v>
      </c>
      <c r="Q487">
        <v>141.04</v>
      </c>
      <c r="R487">
        <v>5</v>
      </c>
      <c r="S487">
        <v>-23.77</v>
      </c>
    </row>
    <row r="488" spans="1:19" x14ac:dyDescent="0.25">
      <c r="A488">
        <v>487</v>
      </c>
      <c r="B488" s="2">
        <v>45314</v>
      </c>
      <c r="C488">
        <v>2024</v>
      </c>
      <c r="D488" t="s">
        <v>23</v>
      </c>
      <c r="E488" s="2">
        <v>45317</v>
      </c>
      <c r="F488">
        <v>3</v>
      </c>
      <c r="G488" t="s">
        <v>33</v>
      </c>
      <c r="H488" t="s">
        <v>272</v>
      </c>
      <c r="I488" t="s">
        <v>323</v>
      </c>
      <c r="J488" t="s">
        <v>327</v>
      </c>
      <c r="K488" t="s">
        <v>334</v>
      </c>
      <c r="L488" t="s">
        <v>334</v>
      </c>
      <c r="M488" t="s">
        <v>349</v>
      </c>
      <c r="N488" t="s">
        <v>352</v>
      </c>
      <c r="O488" t="s">
        <v>358</v>
      </c>
      <c r="P488" t="s">
        <v>361</v>
      </c>
      <c r="Q488">
        <v>54.26</v>
      </c>
      <c r="R488">
        <v>8</v>
      </c>
      <c r="S488">
        <v>2.2799999999999998</v>
      </c>
    </row>
    <row r="489" spans="1:19" x14ac:dyDescent="0.25">
      <c r="A489">
        <v>488</v>
      </c>
      <c r="B489" s="2">
        <v>45352</v>
      </c>
      <c r="C489">
        <v>2024</v>
      </c>
      <c r="D489" t="s">
        <v>24</v>
      </c>
      <c r="E489" s="2">
        <v>45360</v>
      </c>
      <c r="F489">
        <v>8</v>
      </c>
      <c r="G489" t="s">
        <v>32</v>
      </c>
      <c r="H489" t="s">
        <v>265</v>
      </c>
      <c r="I489" t="s">
        <v>325</v>
      </c>
      <c r="J489" t="s">
        <v>327</v>
      </c>
      <c r="K489" t="s">
        <v>337</v>
      </c>
      <c r="L489" t="s">
        <v>344</v>
      </c>
      <c r="M489" t="s">
        <v>347</v>
      </c>
      <c r="N489" t="s">
        <v>350</v>
      </c>
      <c r="O489" t="s">
        <v>354</v>
      </c>
      <c r="P489" t="s">
        <v>361</v>
      </c>
      <c r="Q489">
        <v>104.18</v>
      </c>
      <c r="R489">
        <v>3</v>
      </c>
      <c r="S489">
        <v>-4.59</v>
      </c>
    </row>
    <row r="490" spans="1:19" x14ac:dyDescent="0.25">
      <c r="A490">
        <v>489</v>
      </c>
      <c r="B490" s="2">
        <v>45049</v>
      </c>
      <c r="C490">
        <v>2023</v>
      </c>
      <c r="D490" t="s">
        <v>19</v>
      </c>
      <c r="E490" s="2">
        <v>45050</v>
      </c>
      <c r="F490">
        <v>1</v>
      </c>
      <c r="G490" t="s">
        <v>33</v>
      </c>
      <c r="H490" t="s">
        <v>95</v>
      </c>
      <c r="I490" t="s">
        <v>324</v>
      </c>
      <c r="J490" t="s">
        <v>327</v>
      </c>
      <c r="K490" t="s">
        <v>337</v>
      </c>
      <c r="L490" t="s">
        <v>344</v>
      </c>
      <c r="M490" t="s">
        <v>347</v>
      </c>
      <c r="N490" t="s">
        <v>350</v>
      </c>
      <c r="O490" t="s">
        <v>354</v>
      </c>
      <c r="P490" t="s">
        <v>362</v>
      </c>
      <c r="Q490">
        <v>311.52</v>
      </c>
      <c r="R490">
        <v>3</v>
      </c>
      <c r="S490">
        <v>105.25</v>
      </c>
    </row>
    <row r="491" spans="1:19" x14ac:dyDescent="0.25">
      <c r="A491">
        <v>490</v>
      </c>
      <c r="B491" s="2">
        <v>45440</v>
      </c>
      <c r="C491">
        <v>2024</v>
      </c>
      <c r="D491" t="s">
        <v>19</v>
      </c>
      <c r="E491" s="2">
        <v>45446</v>
      </c>
      <c r="F491">
        <v>6</v>
      </c>
      <c r="G491" t="s">
        <v>32</v>
      </c>
      <c r="H491" t="s">
        <v>38</v>
      </c>
      <c r="I491" t="s">
        <v>324</v>
      </c>
      <c r="J491" t="s">
        <v>328</v>
      </c>
      <c r="K491" t="s">
        <v>336</v>
      </c>
      <c r="L491" t="s">
        <v>343</v>
      </c>
      <c r="M491" t="s">
        <v>347</v>
      </c>
      <c r="N491" t="s">
        <v>351</v>
      </c>
      <c r="O491" t="s">
        <v>356</v>
      </c>
      <c r="P491" t="s">
        <v>360</v>
      </c>
      <c r="Q491">
        <v>49.92</v>
      </c>
      <c r="R491">
        <v>2</v>
      </c>
      <c r="S491">
        <v>-7.81</v>
      </c>
    </row>
    <row r="492" spans="1:19" x14ac:dyDescent="0.25">
      <c r="A492">
        <v>491</v>
      </c>
      <c r="B492" s="2">
        <v>44751</v>
      </c>
      <c r="C492">
        <v>2022</v>
      </c>
      <c r="D492" t="s">
        <v>20</v>
      </c>
      <c r="E492" s="2">
        <v>44754</v>
      </c>
      <c r="F492">
        <v>3</v>
      </c>
      <c r="G492" t="s">
        <v>33</v>
      </c>
      <c r="H492" t="s">
        <v>273</v>
      </c>
      <c r="I492" t="s">
        <v>324</v>
      </c>
      <c r="J492" t="s">
        <v>327</v>
      </c>
      <c r="K492" t="s">
        <v>334</v>
      </c>
      <c r="L492" t="s">
        <v>334</v>
      </c>
      <c r="M492" t="s">
        <v>349</v>
      </c>
      <c r="N492" t="s">
        <v>351</v>
      </c>
      <c r="O492" t="s">
        <v>356</v>
      </c>
      <c r="P492" t="s">
        <v>360</v>
      </c>
      <c r="Q492">
        <v>275.89999999999998</v>
      </c>
      <c r="R492">
        <v>6</v>
      </c>
      <c r="S492">
        <v>68.33</v>
      </c>
    </row>
    <row r="493" spans="1:19" x14ac:dyDescent="0.25">
      <c r="A493">
        <v>492</v>
      </c>
      <c r="B493" s="2">
        <v>45109</v>
      </c>
      <c r="C493">
        <v>2023</v>
      </c>
      <c r="D493" t="s">
        <v>20</v>
      </c>
      <c r="E493" s="2">
        <v>45115</v>
      </c>
      <c r="F493">
        <v>6</v>
      </c>
      <c r="G493" t="s">
        <v>34</v>
      </c>
      <c r="H493" t="s">
        <v>66</v>
      </c>
      <c r="I493" t="s">
        <v>324</v>
      </c>
      <c r="J493" t="s">
        <v>328</v>
      </c>
      <c r="K493" t="s">
        <v>335</v>
      </c>
      <c r="L493" t="s">
        <v>335</v>
      </c>
      <c r="M493" t="s">
        <v>345</v>
      </c>
      <c r="N493" t="s">
        <v>350</v>
      </c>
      <c r="O493" t="s">
        <v>353</v>
      </c>
      <c r="P493" t="s">
        <v>360</v>
      </c>
      <c r="Q493">
        <v>255.58</v>
      </c>
      <c r="R493">
        <v>8</v>
      </c>
      <c r="S493">
        <v>-35.76</v>
      </c>
    </row>
    <row r="494" spans="1:19" x14ac:dyDescent="0.25">
      <c r="A494">
        <v>493</v>
      </c>
      <c r="B494" s="2">
        <v>45971</v>
      </c>
      <c r="C494">
        <v>2025</v>
      </c>
      <c r="D494" t="s">
        <v>30</v>
      </c>
      <c r="E494" s="2">
        <v>45976</v>
      </c>
      <c r="F494">
        <v>5</v>
      </c>
      <c r="G494" t="s">
        <v>34</v>
      </c>
      <c r="H494" t="s">
        <v>170</v>
      </c>
      <c r="I494" t="s">
        <v>323</v>
      </c>
      <c r="J494" t="s">
        <v>328</v>
      </c>
      <c r="K494" t="s">
        <v>332</v>
      </c>
      <c r="L494" t="s">
        <v>341</v>
      </c>
      <c r="M494" t="s">
        <v>348</v>
      </c>
      <c r="N494" t="s">
        <v>350</v>
      </c>
      <c r="O494" t="s">
        <v>354</v>
      </c>
      <c r="P494" t="s">
        <v>362</v>
      </c>
      <c r="Q494">
        <v>376.4</v>
      </c>
      <c r="R494">
        <v>2</v>
      </c>
      <c r="S494">
        <v>-81.64</v>
      </c>
    </row>
    <row r="495" spans="1:19" x14ac:dyDescent="0.25">
      <c r="A495">
        <v>494</v>
      </c>
      <c r="B495" s="2">
        <v>44576</v>
      </c>
      <c r="C495">
        <v>2022</v>
      </c>
      <c r="D495" t="s">
        <v>23</v>
      </c>
      <c r="E495" s="2">
        <v>44580</v>
      </c>
      <c r="F495">
        <v>4</v>
      </c>
      <c r="G495" t="s">
        <v>34</v>
      </c>
      <c r="H495" t="s">
        <v>237</v>
      </c>
      <c r="I495" t="s">
        <v>323</v>
      </c>
      <c r="J495" t="s">
        <v>327</v>
      </c>
      <c r="K495" t="s">
        <v>337</v>
      </c>
      <c r="L495" t="s">
        <v>344</v>
      </c>
      <c r="M495" t="s">
        <v>347</v>
      </c>
      <c r="N495" t="s">
        <v>351</v>
      </c>
      <c r="O495" t="s">
        <v>356</v>
      </c>
      <c r="P495" t="s">
        <v>361</v>
      </c>
      <c r="Q495">
        <v>260.76</v>
      </c>
      <c r="R495">
        <v>8</v>
      </c>
      <c r="S495">
        <v>128.97</v>
      </c>
    </row>
    <row r="496" spans="1:19" x14ac:dyDescent="0.25">
      <c r="A496">
        <v>495</v>
      </c>
      <c r="B496" s="2">
        <v>44942</v>
      </c>
      <c r="C496">
        <v>2023</v>
      </c>
      <c r="D496" t="s">
        <v>23</v>
      </c>
      <c r="E496" s="2">
        <v>44952</v>
      </c>
      <c r="F496">
        <v>10</v>
      </c>
      <c r="G496" t="s">
        <v>31</v>
      </c>
      <c r="H496" t="s">
        <v>274</v>
      </c>
      <c r="I496" t="s">
        <v>323</v>
      </c>
      <c r="J496" t="s">
        <v>327</v>
      </c>
      <c r="K496" t="s">
        <v>330</v>
      </c>
      <c r="L496" t="s">
        <v>339</v>
      </c>
      <c r="M496" t="s">
        <v>346</v>
      </c>
      <c r="N496" t="s">
        <v>350</v>
      </c>
      <c r="O496" t="s">
        <v>354</v>
      </c>
      <c r="P496" t="s">
        <v>362</v>
      </c>
      <c r="Q496">
        <v>74.73</v>
      </c>
      <c r="R496">
        <v>9</v>
      </c>
      <c r="S496">
        <v>33.21</v>
      </c>
    </row>
    <row r="497" spans="1:19" x14ac:dyDescent="0.25">
      <c r="A497">
        <v>496</v>
      </c>
      <c r="B497" s="2">
        <v>44596</v>
      </c>
      <c r="C497">
        <v>2022</v>
      </c>
      <c r="D497" t="s">
        <v>28</v>
      </c>
      <c r="E497" s="2">
        <v>44603</v>
      </c>
      <c r="F497">
        <v>7</v>
      </c>
      <c r="G497" t="s">
        <v>33</v>
      </c>
      <c r="H497" t="s">
        <v>185</v>
      </c>
      <c r="I497" t="s">
        <v>325</v>
      </c>
      <c r="J497" t="s">
        <v>326</v>
      </c>
      <c r="K497" t="s">
        <v>331</v>
      </c>
      <c r="L497" t="s">
        <v>340</v>
      </c>
      <c r="M497" t="s">
        <v>347</v>
      </c>
      <c r="N497" t="s">
        <v>350</v>
      </c>
      <c r="O497" t="s">
        <v>354</v>
      </c>
      <c r="P497" t="s">
        <v>362</v>
      </c>
      <c r="Q497">
        <v>474.79</v>
      </c>
      <c r="R497">
        <v>10</v>
      </c>
      <c r="S497">
        <v>-60.41</v>
      </c>
    </row>
    <row r="498" spans="1:19" x14ac:dyDescent="0.25">
      <c r="A498">
        <v>497</v>
      </c>
      <c r="B498" s="2">
        <v>44940</v>
      </c>
      <c r="C498">
        <v>2023</v>
      </c>
      <c r="D498" t="s">
        <v>23</v>
      </c>
      <c r="E498" s="2">
        <v>44947</v>
      </c>
      <c r="F498">
        <v>7</v>
      </c>
      <c r="G498" t="s">
        <v>32</v>
      </c>
      <c r="H498" t="s">
        <v>121</v>
      </c>
      <c r="I498" t="s">
        <v>323</v>
      </c>
      <c r="J498" t="s">
        <v>327</v>
      </c>
      <c r="K498" t="s">
        <v>337</v>
      </c>
      <c r="L498" t="s">
        <v>344</v>
      </c>
      <c r="M498" t="s">
        <v>347</v>
      </c>
      <c r="N498" t="s">
        <v>351</v>
      </c>
      <c r="O498" t="s">
        <v>356</v>
      </c>
      <c r="P498" t="s">
        <v>362</v>
      </c>
      <c r="Q498">
        <v>275.31</v>
      </c>
      <c r="R498">
        <v>1</v>
      </c>
      <c r="S498">
        <v>105.88</v>
      </c>
    </row>
    <row r="499" spans="1:19" x14ac:dyDescent="0.25">
      <c r="A499">
        <v>498</v>
      </c>
      <c r="B499" s="2">
        <v>44318</v>
      </c>
      <c r="C499">
        <v>2021</v>
      </c>
      <c r="D499" t="s">
        <v>19</v>
      </c>
      <c r="E499" s="2">
        <v>44327</v>
      </c>
      <c r="F499">
        <v>9</v>
      </c>
      <c r="G499" t="s">
        <v>34</v>
      </c>
      <c r="H499" t="s">
        <v>103</v>
      </c>
      <c r="I499" t="s">
        <v>324</v>
      </c>
      <c r="J499" t="s">
        <v>327</v>
      </c>
      <c r="K499" t="s">
        <v>334</v>
      </c>
      <c r="L499" t="s">
        <v>334</v>
      </c>
      <c r="M499" t="s">
        <v>349</v>
      </c>
      <c r="N499" t="s">
        <v>350</v>
      </c>
      <c r="O499" t="s">
        <v>354</v>
      </c>
      <c r="P499" t="s">
        <v>361</v>
      </c>
      <c r="Q499">
        <v>226.24</v>
      </c>
      <c r="R499">
        <v>7</v>
      </c>
      <c r="S499">
        <v>-5.0599999999999996</v>
      </c>
    </row>
    <row r="500" spans="1:19" x14ac:dyDescent="0.25">
      <c r="A500">
        <v>499</v>
      </c>
      <c r="B500" s="2">
        <v>45355</v>
      </c>
      <c r="C500">
        <v>2024</v>
      </c>
      <c r="D500" t="s">
        <v>24</v>
      </c>
      <c r="E500" s="2">
        <v>45358</v>
      </c>
      <c r="F500">
        <v>3</v>
      </c>
      <c r="G500" t="s">
        <v>34</v>
      </c>
      <c r="H500" t="s">
        <v>77</v>
      </c>
      <c r="I500" t="s">
        <v>323</v>
      </c>
      <c r="J500" t="s">
        <v>327</v>
      </c>
      <c r="K500" t="s">
        <v>337</v>
      </c>
      <c r="L500" t="s">
        <v>344</v>
      </c>
      <c r="M500" t="s">
        <v>347</v>
      </c>
      <c r="N500" t="s">
        <v>351</v>
      </c>
      <c r="O500" t="s">
        <v>356</v>
      </c>
      <c r="P500" t="s">
        <v>361</v>
      </c>
      <c r="Q500">
        <v>103.85</v>
      </c>
      <c r="R500">
        <v>9</v>
      </c>
      <c r="S500">
        <v>29.33</v>
      </c>
    </row>
    <row r="501" spans="1:19" x14ac:dyDescent="0.25">
      <c r="A501">
        <v>500</v>
      </c>
      <c r="B501" s="2">
        <v>44259</v>
      </c>
      <c r="C501">
        <v>2021</v>
      </c>
      <c r="D501" t="s">
        <v>24</v>
      </c>
      <c r="E501" s="2">
        <v>44265</v>
      </c>
      <c r="F501">
        <v>6</v>
      </c>
      <c r="G501" t="s">
        <v>33</v>
      </c>
      <c r="H501" t="s">
        <v>59</v>
      </c>
      <c r="I501" t="s">
        <v>323</v>
      </c>
      <c r="J501" t="s">
        <v>326</v>
      </c>
      <c r="K501" t="s">
        <v>331</v>
      </c>
      <c r="L501" t="s">
        <v>340</v>
      </c>
      <c r="M501" t="s">
        <v>347</v>
      </c>
      <c r="N501" t="s">
        <v>350</v>
      </c>
      <c r="O501" t="s">
        <v>353</v>
      </c>
      <c r="P501" t="s">
        <v>362</v>
      </c>
      <c r="Q501">
        <v>30.79</v>
      </c>
      <c r="R501">
        <v>6</v>
      </c>
      <c r="S501">
        <v>2.57</v>
      </c>
    </row>
    <row r="502" spans="1:19" x14ac:dyDescent="0.25">
      <c r="A502">
        <v>501</v>
      </c>
      <c r="B502" s="2">
        <v>44736</v>
      </c>
      <c r="C502">
        <v>2022</v>
      </c>
      <c r="D502" t="s">
        <v>21</v>
      </c>
      <c r="E502" s="2">
        <v>44745</v>
      </c>
      <c r="F502">
        <v>9</v>
      </c>
      <c r="G502" t="s">
        <v>32</v>
      </c>
      <c r="H502" t="s">
        <v>155</v>
      </c>
      <c r="I502" t="s">
        <v>325</v>
      </c>
      <c r="J502" t="s">
        <v>328</v>
      </c>
      <c r="K502" t="s">
        <v>335</v>
      </c>
      <c r="L502" t="s">
        <v>335</v>
      </c>
      <c r="M502" t="s">
        <v>345</v>
      </c>
      <c r="N502" t="s">
        <v>350</v>
      </c>
      <c r="O502" t="s">
        <v>353</v>
      </c>
      <c r="P502" t="s">
        <v>362</v>
      </c>
      <c r="Q502">
        <v>131.78</v>
      </c>
      <c r="R502">
        <v>1</v>
      </c>
      <c r="S502">
        <v>6.33</v>
      </c>
    </row>
    <row r="503" spans="1:19" x14ac:dyDescent="0.25">
      <c r="A503">
        <v>502</v>
      </c>
      <c r="B503" s="2">
        <v>45950</v>
      </c>
      <c r="C503">
        <v>2025</v>
      </c>
      <c r="D503" t="s">
        <v>22</v>
      </c>
      <c r="E503" s="2">
        <v>45959</v>
      </c>
      <c r="F503">
        <v>9</v>
      </c>
      <c r="G503" t="s">
        <v>33</v>
      </c>
      <c r="H503" t="s">
        <v>171</v>
      </c>
      <c r="I503" t="s">
        <v>324</v>
      </c>
      <c r="J503" t="s">
        <v>326</v>
      </c>
      <c r="K503" t="s">
        <v>331</v>
      </c>
      <c r="L503" t="s">
        <v>340</v>
      </c>
      <c r="M503" t="s">
        <v>347</v>
      </c>
      <c r="N503" t="s">
        <v>351</v>
      </c>
      <c r="O503" t="s">
        <v>356</v>
      </c>
      <c r="P503" t="s">
        <v>359</v>
      </c>
      <c r="Q503">
        <v>212.88</v>
      </c>
      <c r="R503">
        <v>5</v>
      </c>
      <c r="S503">
        <v>-1.23</v>
      </c>
    </row>
    <row r="504" spans="1:19" x14ac:dyDescent="0.25">
      <c r="A504">
        <v>503</v>
      </c>
      <c r="B504" s="2">
        <v>45752</v>
      </c>
      <c r="C504">
        <v>2025</v>
      </c>
      <c r="D504" t="s">
        <v>26</v>
      </c>
      <c r="E504" s="2">
        <v>45760</v>
      </c>
      <c r="F504">
        <v>8</v>
      </c>
      <c r="G504" t="s">
        <v>34</v>
      </c>
      <c r="H504" t="s">
        <v>121</v>
      </c>
      <c r="I504" t="s">
        <v>325</v>
      </c>
      <c r="J504" t="s">
        <v>326</v>
      </c>
      <c r="K504" t="s">
        <v>329</v>
      </c>
      <c r="L504" t="s">
        <v>338</v>
      </c>
      <c r="M504" t="s">
        <v>345</v>
      </c>
      <c r="N504" t="s">
        <v>350</v>
      </c>
      <c r="O504" t="s">
        <v>353</v>
      </c>
      <c r="P504" t="s">
        <v>360</v>
      </c>
      <c r="Q504">
        <v>281.33</v>
      </c>
      <c r="R504">
        <v>8</v>
      </c>
      <c r="S504">
        <v>-1.35</v>
      </c>
    </row>
    <row r="505" spans="1:19" x14ac:dyDescent="0.25">
      <c r="A505">
        <v>504</v>
      </c>
      <c r="B505" s="2">
        <v>43844</v>
      </c>
      <c r="C505">
        <v>2020</v>
      </c>
      <c r="D505" t="s">
        <v>23</v>
      </c>
      <c r="E505" s="2">
        <v>43849</v>
      </c>
      <c r="F505">
        <v>5</v>
      </c>
      <c r="G505" t="s">
        <v>32</v>
      </c>
      <c r="H505" t="s">
        <v>275</v>
      </c>
      <c r="I505" t="s">
        <v>323</v>
      </c>
      <c r="J505" t="s">
        <v>327</v>
      </c>
      <c r="K505" t="s">
        <v>330</v>
      </c>
      <c r="L505" t="s">
        <v>339</v>
      </c>
      <c r="M505" t="s">
        <v>346</v>
      </c>
      <c r="N505" t="s">
        <v>350</v>
      </c>
      <c r="O505" t="s">
        <v>354</v>
      </c>
      <c r="P505" t="s">
        <v>360</v>
      </c>
      <c r="Q505">
        <v>255.99</v>
      </c>
      <c r="R505">
        <v>10</v>
      </c>
      <c r="S505">
        <v>68.64</v>
      </c>
    </row>
    <row r="506" spans="1:19" x14ac:dyDescent="0.25">
      <c r="A506">
        <v>505</v>
      </c>
      <c r="B506" s="2">
        <v>45147</v>
      </c>
      <c r="C506">
        <v>2023</v>
      </c>
      <c r="D506" t="s">
        <v>27</v>
      </c>
      <c r="E506" s="2">
        <v>45156</v>
      </c>
      <c r="F506">
        <v>9</v>
      </c>
      <c r="G506" t="s">
        <v>33</v>
      </c>
      <c r="H506" t="s">
        <v>206</v>
      </c>
      <c r="I506" t="s">
        <v>323</v>
      </c>
      <c r="J506" t="s">
        <v>326</v>
      </c>
      <c r="K506" t="s">
        <v>331</v>
      </c>
      <c r="L506" t="s">
        <v>340</v>
      </c>
      <c r="M506" t="s">
        <v>347</v>
      </c>
      <c r="N506" t="s">
        <v>352</v>
      </c>
      <c r="O506" t="s">
        <v>357</v>
      </c>
      <c r="P506" t="s">
        <v>362</v>
      </c>
      <c r="Q506">
        <v>465.97</v>
      </c>
      <c r="R506">
        <v>6</v>
      </c>
      <c r="S506">
        <v>-2.88</v>
      </c>
    </row>
    <row r="507" spans="1:19" x14ac:dyDescent="0.25">
      <c r="A507">
        <v>506</v>
      </c>
      <c r="B507" s="2">
        <v>45186</v>
      </c>
      <c r="C507">
        <v>2023</v>
      </c>
      <c r="D507" t="s">
        <v>25</v>
      </c>
      <c r="E507" s="2">
        <v>45192</v>
      </c>
      <c r="F507">
        <v>6</v>
      </c>
      <c r="G507" t="s">
        <v>34</v>
      </c>
      <c r="H507" t="s">
        <v>199</v>
      </c>
      <c r="I507" t="s">
        <v>324</v>
      </c>
      <c r="J507" t="s">
        <v>326</v>
      </c>
      <c r="K507" t="s">
        <v>329</v>
      </c>
      <c r="L507" t="s">
        <v>338</v>
      </c>
      <c r="M507" t="s">
        <v>345</v>
      </c>
      <c r="N507" t="s">
        <v>351</v>
      </c>
      <c r="O507" t="s">
        <v>356</v>
      </c>
      <c r="P507" t="s">
        <v>360</v>
      </c>
      <c r="Q507">
        <v>247.6</v>
      </c>
      <c r="R507">
        <v>6</v>
      </c>
      <c r="S507">
        <v>-66.52</v>
      </c>
    </row>
    <row r="508" spans="1:19" x14ac:dyDescent="0.25">
      <c r="A508">
        <v>507</v>
      </c>
      <c r="B508" s="2">
        <v>44713</v>
      </c>
      <c r="C508">
        <v>2022</v>
      </c>
      <c r="D508" t="s">
        <v>21</v>
      </c>
      <c r="E508" s="2">
        <v>44717</v>
      </c>
      <c r="F508">
        <v>4</v>
      </c>
      <c r="G508" t="s">
        <v>32</v>
      </c>
      <c r="H508" t="s">
        <v>228</v>
      </c>
      <c r="I508" t="s">
        <v>325</v>
      </c>
      <c r="J508" t="s">
        <v>327</v>
      </c>
      <c r="K508" t="s">
        <v>334</v>
      </c>
      <c r="L508" t="s">
        <v>334</v>
      </c>
      <c r="M508" t="s">
        <v>349</v>
      </c>
      <c r="N508" t="s">
        <v>352</v>
      </c>
      <c r="O508" t="s">
        <v>357</v>
      </c>
      <c r="P508" t="s">
        <v>362</v>
      </c>
      <c r="Q508">
        <v>360.39</v>
      </c>
      <c r="R508">
        <v>5</v>
      </c>
      <c r="S508">
        <v>-61.51</v>
      </c>
    </row>
    <row r="509" spans="1:19" x14ac:dyDescent="0.25">
      <c r="A509">
        <v>508</v>
      </c>
      <c r="B509" s="2">
        <v>44101</v>
      </c>
      <c r="C509">
        <v>2020</v>
      </c>
      <c r="D509" t="s">
        <v>25</v>
      </c>
      <c r="E509" s="2">
        <v>44111</v>
      </c>
      <c r="F509">
        <v>10</v>
      </c>
      <c r="G509" t="s">
        <v>31</v>
      </c>
      <c r="H509" t="s">
        <v>96</v>
      </c>
      <c r="I509" t="s">
        <v>323</v>
      </c>
      <c r="J509" t="s">
        <v>326</v>
      </c>
      <c r="K509" t="s">
        <v>333</v>
      </c>
      <c r="L509" t="s">
        <v>342</v>
      </c>
      <c r="M509" t="s">
        <v>345</v>
      </c>
      <c r="N509" t="s">
        <v>350</v>
      </c>
      <c r="O509" t="s">
        <v>354</v>
      </c>
      <c r="P509" t="s">
        <v>362</v>
      </c>
      <c r="Q509">
        <v>81.09</v>
      </c>
      <c r="R509">
        <v>7</v>
      </c>
      <c r="S509">
        <v>9.76</v>
      </c>
    </row>
    <row r="510" spans="1:19" x14ac:dyDescent="0.25">
      <c r="A510">
        <v>509</v>
      </c>
      <c r="B510" s="2">
        <v>44858</v>
      </c>
      <c r="C510">
        <v>2022</v>
      </c>
      <c r="D510" t="s">
        <v>22</v>
      </c>
      <c r="E510" s="2">
        <v>44864</v>
      </c>
      <c r="F510">
        <v>6</v>
      </c>
      <c r="G510" t="s">
        <v>31</v>
      </c>
      <c r="H510" t="s">
        <v>144</v>
      </c>
      <c r="I510" t="s">
        <v>323</v>
      </c>
      <c r="J510" t="s">
        <v>326</v>
      </c>
      <c r="K510" t="s">
        <v>329</v>
      </c>
      <c r="L510" t="s">
        <v>338</v>
      </c>
      <c r="M510" t="s">
        <v>345</v>
      </c>
      <c r="N510" t="s">
        <v>352</v>
      </c>
      <c r="O510" t="s">
        <v>357</v>
      </c>
      <c r="P510" t="s">
        <v>361</v>
      </c>
      <c r="Q510">
        <v>97.17</v>
      </c>
      <c r="R510">
        <v>1</v>
      </c>
      <c r="S510">
        <v>29.95</v>
      </c>
    </row>
    <row r="511" spans="1:19" x14ac:dyDescent="0.25">
      <c r="A511">
        <v>510</v>
      </c>
      <c r="B511" s="2">
        <v>44244</v>
      </c>
      <c r="C511">
        <v>2021</v>
      </c>
      <c r="D511" t="s">
        <v>28</v>
      </c>
      <c r="E511" s="2">
        <v>44251</v>
      </c>
      <c r="F511">
        <v>7</v>
      </c>
      <c r="G511" t="s">
        <v>32</v>
      </c>
      <c r="H511" t="s">
        <v>127</v>
      </c>
      <c r="I511" t="s">
        <v>323</v>
      </c>
      <c r="J511" t="s">
        <v>326</v>
      </c>
      <c r="K511" t="s">
        <v>333</v>
      </c>
      <c r="L511" t="s">
        <v>342</v>
      </c>
      <c r="M511" t="s">
        <v>345</v>
      </c>
      <c r="N511" t="s">
        <v>350</v>
      </c>
      <c r="O511" t="s">
        <v>353</v>
      </c>
      <c r="P511" t="s">
        <v>359</v>
      </c>
      <c r="Q511">
        <v>136.79</v>
      </c>
      <c r="R511">
        <v>5</v>
      </c>
      <c r="S511">
        <v>12.37</v>
      </c>
    </row>
    <row r="512" spans="1:19" x14ac:dyDescent="0.25">
      <c r="A512">
        <v>511</v>
      </c>
      <c r="B512" s="2">
        <v>44231</v>
      </c>
      <c r="C512">
        <v>2021</v>
      </c>
      <c r="D512" t="s">
        <v>28</v>
      </c>
      <c r="E512" s="2">
        <v>44232</v>
      </c>
      <c r="F512">
        <v>1</v>
      </c>
      <c r="G512" t="s">
        <v>32</v>
      </c>
      <c r="H512" t="s">
        <v>178</v>
      </c>
      <c r="I512" t="s">
        <v>323</v>
      </c>
      <c r="J512" t="s">
        <v>327</v>
      </c>
      <c r="K512" t="s">
        <v>334</v>
      </c>
      <c r="L512" t="s">
        <v>334</v>
      </c>
      <c r="M512" t="s">
        <v>349</v>
      </c>
      <c r="N512" t="s">
        <v>350</v>
      </c>
      <c r="O512" t="s">
        <v>353</v>
      </c>
      <c r="P512" t="s">
        <v>362</v>
      </c>
      <c r="Q512">
        <v>116.55</v>
      </c>
      <c r="R512">
        <v>1</v>
      </c>
      <c r="S512">
        <v>-2.4300000000000002</v>
      </c>
    </row>
    <row r="513" spans="1:19" x14ac:dyDescent="0.25">
      <c r="A513">
        <v>512</v>
      </c>
      <c r="B513" s="2">
        <v>45102</v>
      </c>
      <c r="C513">
        <v>2023</v>
      </c>
      <c r="D513" t="s">
        <v>21</v>
      </c>
      <c r="E513" s="2">
        <v>45110</v>
      </c>
      <c r="F513">
        <v>8</v>
      </c>
      <c r="G513" t="s">
        <v>33</v>
      </c>
      <c r="H513" t="s">
        <v>170</v>
      </c>
      <c r="I513" t="s">
        <v>324</v>
      </c>
      <c r="J513" t="s">
        <v>326</v>
      </c>
      <c r="K513" t="s">
        <v>331</v>
      </c>
      <c r="L513" t="s">
        <v>340</v>
      </c>
      <c r="M513" t="s">
        <v>347</v>
      </c>
      <c r="N513" t="s">
        <v>351</v>
      </c>
      <c r="O513" t="s">
        <v>356</v>
      </c>
      <c r="P513" t="s">
        <v>361</v>
      </c>
      <c r="Q513">
        <v>21.39</v>
      </c>
      <c r="R513">
        <v>9</v>
      </c>
      <c r="S513">
        <v>8.19</v>
      </c>
    </row>
    <row r="514" spans="1:19" x14ac:dyDescent="0.25">
      <c r="A514">
        <v>513</v>
      </c>
      <c r="B514" s="2">
        <v>45428</v>
      </c>
      <c r="C514">
        <v>2024</v>
      </c>
      <c r="D514" t="s">
        <v>19</v>
      </c>
      <c r="E514" s="2">
        <v>45433</v>
      </c>
      <c r="F514">
        <v>5</v>
      </c>
      <c r="G514" t="s">
        <v>31</v>
      </c>
      <c r="H514" t="s">
        <v>59</v>
      </c>
      <c r="I514" t="s">
        <v>325</v>
      </c>
      <c r="J514" t="s">
        <v>328</v>
      </c>
      <c r="K514" t="s">
        <v>332</v>
      </c>
      <c r="L514" t="s">
        <v>341</v>
      </c>
      <c r="M514" t="s">
        <v>348</v>
      </c>
      <c r="N514" t="s">
        <v>352</v>
      </c>
      <c r="O514" t="s">
        <v>357</v>
      </c>
      <c r="P514" t="s">
        <v>359</v>
      </c>
      <c r="Q514">
        <v>224.44</v>
      </c>
      <c r="R514">
        <v>9</v>
      </c>
      <c r="S514">
        <v>29.95</v>
      </c>
    </row>
    <row r="515" spans="1:19" x14ac:dyDescent="0.25">
      <c r="A515">
        <v>514</v>
      </c>
      <c r="B515" s="2">
        <v>45387</v>
      </c>
      <c r="C515">
        <v>2024</v>
      </c>
      <c r="D515" t="s">
        <v>26</v>
      </c>
      <c r="E515" s="2">
        <v>45388</v>
      </c>
      <c r="F515">
        <v>1</v>
      </c>
      <c r="G515" t="s">
        <v>33</v>
      </c>
      <c r="H515" t="s">
        <v>176</v>
      </c>
      <c r="I515" t="s">
        <v>323</v>
      </c>
      <c r="J515" t="s">
        <v>326</v>
      </c>
      <c r="K515" t="s">
        <v>333</v>
      </c>
      <c r="L515" t="s">
        <v>342</v>
      </c>
      <c r="M515" t="s">
        <v>345</v>
      </c>
      <c r="N515" t="s">
        <v>351</v>
      </c>
      <c r="O515" t="s">
        <v>356</v>
      </c>
      <c r="P515" t="s">
        <v>359</v>
      </c>
      <c r="Q515">
        <v>273.10000000000002</v>
      </c>
      <c r="R515">
        <v>7</v>
      </c>
      <c r="S515">
        <v>-36.619999999999997</v>
      </c>
    </row>
    <row r="516" spans="1:19" x14ac:dyDescent="0.25">
      <c r="A516">
        <v>515</v>
      </c>
      <c r="B516" s="2">
        <v>45671</v>
      </c>
      <c r="C516">
        <v>2025</v>
      </c>
      <c r="D516" t="s">
        <v>23</v>
      </c>
      <c r="E516" s="2">
        <v>45681</v>
      </c>
      <c r="F516">
        <v>10</v>
      </c>
      <c r="G516" t="s">
        <v>33</v>
      </c>
      <c r="H516" t="s">
        <v>276</v>
      </c>
      <c r="I516" t="s">
        <v>325</v>
      </c>
      <c r="J516" t="s">
        <v>328</v>
      </c>
      <c r="K516" t="s">
        <v>336</v>
      </c>
      <c r="L516" t="s">
        <v>343</v>
      </c>
      <c r="M516" t="s">
        <v>347</v>
      </c>
      <c r="N516" t="s">
        <v>350</v>
      </c>
      <c r="O516" t="s">
        <v>353</v>
      </c>
      <c r="P516" t="s">
        <v>362</v>
      </c>
      <c r="Q516">
        <v>324.60000000000002</v>
      </c>
      <c r="R516">
        <v>7</v>
      </c>
      <c r="S516">
        <v>93.78</v>
      </c>
    </row>
    <row r="517" spans="1:19" x14ac:dyDescent="0.25">
      <c r="A517">
        <v>516</v>
      </c>
      <c r="B517" s="2">
        <v>45453</v>
      </c>
      <c r="C517">
        <v>2024</v>
      </c>
      <c r="D517" t="s">
        <v>21</v>
      </c>
      <c r="E517" s="2">
        <v>45455</v>
      </c>
      <c r="F517">
        <v>2</v>
      </c>
      <c r="G517" t="s">
        <v>32</v>
      </c>
      <c r="H517" t="s">
        <v>277</v>
      </c>
      <c r="I517" t="s">
        <v>323</v>
      </c>
      <c r="J517" t="s">
        <v>327</v>
      </c>
      <c r="K517" t="s">
        <v>334</v>
      </c>
      <c r="L517" t="s">
        <v>334</v>
      </c>
      <c r="M517" t="s">
        <v>349</v>
      </c>
      <c r="N517" t="s">
        <v>351</v>
      </c>
      <c r="O517" t="s">
        <v>356</v>
      </c>
      <c r="P517" t="s">
        <v>360</v>
      </c>
      <c r="Q517">
        <v>348.11</v>
      </c>
      <c r="R517">
        <v>8</v>
      </c>
      <c r="S517">
        <v>76.95</v>
      </c>
    </row>
    <row r="518" spans="1:19" x14ac:dyDescent="0.25">
      <c r="A518">
        <v>517</v>
      </c>
      <c r="B518" s="2">
        <v>44239</v>
      </c>
      <c r="C518">
        <v>2021</v>
      </c>
      <c r="D518" t="s">
        <v>28</v>
      </c>
      <c r="E518" s="2">
        <v>44247</v>
      </c>
      <c r="F518">
        <v>8</v>
      </c>
      <c r="G518" t="s">
        <v>31</v>
      </c>
      <c r="H518" t="s">
        <v>183</v>
      </c>
      <c r="I518" t="s">
        <v>323</v>
      </c>
      <c r="J518" t="s">
        <v>327</v>
      </c>
      <c r="K518" t="s">
        <v>334</v>
      </c>
      <c r="L518" t="s">
        <v>334</v>
      </c>
      <c r="M518" t="s">
        <v>349</v>
      </c>
      <c r="N518" t="s">
        <v>351</v>
      </c>
      <c r="O518" t="s">
        <v>356</v>
      </c>
      <c r="P518" t="s">
        <v>360</v>
      </c>
      <c r="Q518">
        <v>173.24</v>
      </c>
      <c r="R518">
        <v>9</v>
      </c>
      <c r="S518">
        <v>40.25</v>
      </c>
    </row>
    <row r="519" spans="1:19" x14ac:dyDescent="0.25">
      <c r="A519">
        <v>518</v>
      </c>
      <c r="B519" s="2">
        <v>45663</v>
      </c>
      <c r="C519">
        <v>2025</v>
      </c>
      <c r="D519" t="s">
        <v>23</v>
      </c>
      <c r="E519" s="2">
        <v>45670</v>
      </c>
      <c r="F519">
        <v>7</v>
      </c>
      <c r="G519" t="s">
        <v>33</v>
      </c>
      <c r="H519" t="s">
        <v>168</v>
      </c>
      <c r="I519" t="s">
        <v>325</v>
      </c>
      <c r="J519" t="s">
        <v>327</v>
      </c>
      <c r="K519" t="s">
        <v>330</v>
      </c>
      <c r="L519" t="s">
        <v>339</v>
      </c>
      <c r="M519" t="s">
        <v>346</v>
      </c>
      <c r="N519" t="s">
        <v>352</v>
      </c>
      <c r="O519" t="s">
        <v>358</v>
      </c>
      <c r="P519" t="s">
        <v>360</v>
      </c>
      <c r="Q519">
        <v>413.52</v>
      </c>
      <c r="R519">
        <v>2</v>
      </c>
      <c r="S519">
        <v>64.05</v>
      </c>
    </row>
    <row r="520" spans="1:19" x14ac:dyDescent="0.25">
      <c r="A520">
        <v>519</v>
      </c>
      <c r="B520" s="2">
        <v>43856</v>
      </c>
      <c r="C520">
        <v>2020</v>
      </c>
      <c r="D520" t="s">
        <v>23</v>
      </c>
      <c r="E520" s="2">
        <v>43866</v>
      </c>
      <c r="F520">
        <v>10</v>
      </c>
      <c r="G520" t="s">
        <v>32</v>
      </c>
      <c r="H520" t="s">
        <v>159</v>
      </c>
      <c r="I520" t="s">
        <v>324</v>
      </c>
      <c r="J520" t="s">
        <v>327</v>
      </c>
      <c r="K520" t="s">
        <v>330</v>
      </c>
      <c r="L520" t="s">
        <v>339</v>
      </c>
      <c r="M520" t="s">
        <v>346</v>
      </c>
      <c r="N520" t="s">
        <v>351</v>
      </c>
      <c r="O520" t="s">
        <v>355</v>
      </c>
      <c r="P520" t="s">
        <v>362</v>
      </c>
      <c r="Q520">
        <v>468.29</v>
      </c>
      <c r="R520">
        <v>8</v>
      </c>
      <c r="S520">
        <v>152.13999999999999</v>
      </c>
    </row>
    <row r="521" spans="1:19" x14ac:dyDescent="0.25">
      <c r="A521">
        <v>520</v>
      </c>
      <c r="B521" s="2">
        <v>44888</v>
      </c>
      <c r="C521">
        <v>2022</v>
      </c>
      <c r="D521" t="s">
        <v>30</v>
      </c>
      <c r="E521" s="2">
        <v>44895</v>
      </c>
      <c r="F521">
        <v>7</v>
      </c>
      <c r="G521" t="s">
        <v>31</v>
      </c>
      <c r="H521" t="s">
        <v>54</v>
      </c>
      <c r="I521" t="s">
        <v>325</v>
      </c>
      <c r="J521" t="s">
        <v>327</v>
      </c>
      <c r="K521" t="s">
        <v>337</v>
      </c>
      <c r="L521" t="s">
        <v>344</v>
      </c>
      <c r="M521" t="s">
        <v>347</v>
      </c>
      <c r="N521" t="s">
        <v>350</v>
      </c>
      <c r="O521" t="s">
        <v>354</v>
      </c>
      <c r="P521" t="s">
        <v>359</v>
      </c>
      <c r="Q521">
        <v>21.5</v>
      </c>
      <c r="R521">
        <v>2</v>
      </c>
      <c r="S521">
        <v>-5.75</v>
      </c>
    </row>
    <row r="522" spans="1:19" x14ac:dyDescent="0.25">
      <c r="A522">
        <v>521</v>
      </c>
      <c r="B522" s="2">
        <v>44183</v>
      </c>
      <c r="C522">
        <v>2020</v>
      </c>
      <c r="D522" t="s">
        <v>29</v>
      </c>
      <c r="E522" s="2">
        <v>44186</v>
      </c>
      <c r="F522">
        <v>3</v>
      </c>
      <c r="G522" t="s">
        <v>32</v>
      </c>
      <c r="H522" t="s">
        <v>278</v>
      </c>
      <c r="I522" t="s">
        <v>323</v>
      </c>
      <c r="J522" t="s">
        <v>327</v>
      </c>
      <c r="K522" t="s">
        <v>330</v>
      </c>
      <c r="L522" t="s">
        <v>339</v>
      </c>
      <c r="M522" t="s">
        <v>346</v>
      </c>
      <c r="N522" t="s">
        <v>351</v>
      </c>
      <c r="O522" t="s">
        <v>355</v>
      </c>
      <c r="P522" t="s">
        <v>360</v>
      </c>
      <c r="Q522">
        <v>261.38</v>
      </c>
      <c r="R522">
        <v>8</v>
      </c>
      <c r="S522">
        <v>-65.09</v>
      </c>
    </row>
    <row r="523" spans="1:19" x14ac:dyDescent="0.25">
      <c r="A523">
        <v>522</v>
      </c>
      <c r="B523" s="2">
        <v>44984</v>
      </c>
      <c r="C523">
        <v>2023</v>
      </c>
      <c r="D523" t="s">
        <v>28</v>
      </c>
      <c r="E523" s="2">
        <v>44989</v>
      </c>
      <c r="F523">
        <v>5</v>
      </c>
      <c r="G523" t="s">
        <v>32</v>
      </c>
      <c r="H523" t="s">
        <v>110</v>
      </c>
      <c r="I523" t="s">
        <v>323</v>
      </c>
      <c r="J523" t="s">
        <v>328</v>
      </c>
      <c r="K523" t="s">
        <v>336</v>
      </c>
      <c r="L523" t="s">
        <v>343</v>
      </c>
      <c r="M523" t="s">
        <v>347</v>
      </c>
      <c r="N523" t="s">
        <v>352</v>
      </c>
      <c r="O523" t="s">
        <v>357</v>
      </c>
      <c r="P523" t="s">
        <v>362</v>
      </c>
      <c r="Q523">
        <v>241.02</v>
      </c>
      <c r="R523">
        <v>7</v>
      </c>
      <c r="S523">
        <v>108.5</v>
      </c>
    </row>
    <row r="524" spans="1:19" x14ac:dyDescent="0.25">
      <c r="A524">
        <v>523</v>
      </c>
      <c r="B524" s="2">
        <v>45777</v>
      </c>
      <c r="C524">
        <v>2025</v>
      </c>
      <c r="D524" t="s">
        <v>26</v>
      </c>
      <c r="E524" s="2">
        <v>45785</v>
      </c>
      <c r="F524">
        <v>8</v>
      </c>
      <c r="G524" t="s">
        <v>33</v>
      </c>
      <c r="H524" t="s">
        <v>86</v>
      </c>
      <c r="I524" t="s">
        <v>324</v>
      </c>
      <c r="J524" t="s">
        <v>327</v>
      </c>
      <c r="K524" t="s">
        <v>330</v>
      </c>
      <c r="L524" t="s">
        <v>339</v>
      </c>
      <c r="M524" t="s">
        <v>346</v>
      </c>
      <c r="N524" t="s">
        <v>351</v>
      </c>
      <c r="O524" t="s">
        <v>355</v>
      </c>
      <c r="P524" t="s">
        <v>361</v>
      </c>
      <c r="Q524">
        <v>22.93</v>
      </c>
      <c r="R524">
        <v>8</v>
      </c>
      <c r="S524">
        <v>-1.23</v>
      </c>
    </row>
    <row r="525" spans="1:19" x14ac:dyDescent="0.25">
      <c r="A525">
        <v>524</v>
      </c>
      <c r="B525" s="2">
        <v>44820</v>
      </c>
      <c r="C525">
        <v>2022</v>
      </c>
      <c r="D525" t="s">
        <v>25</v>
      </c>
      <c r="E525" s="2">
        <v>44824</v>
      </c>
      <c r="F525">
        <v>4</v>
      </c>
      <c r="G525" t="s">
        <v>33</v>
      </c>
      <c r="H525" t="s">
        <v>279</v>
      </c>
      <c r="I525" t="s">
        <v>324</v>
      </c>
      <c r="J525" t="s">
        <v>327</v>
      </c>
      <c r="K525" t="s">
        <v>330</v>
      </c>
      <c r="L525" t="s">
        <v>339</v>
      </c>
      <c r="M525" t="s">
        <v>346</v>
      </c>
      <c r="N525" t="s">
        <v>350</v>
      </c>
      <c r="O525" t="s">
        <v>354</v>
      </c>
      <c r="P525" t="s">
        <v>361</v>
      </c>
      <c r="Q525">
        <v>150.35</v>
      </c>
      <c r="R525">
        <v>8</v>
      </c>
      <c r="S525">
        <v>-12.44</v>
      </c>
    </row>
    <row r="526" spans="1:19" x14ac:dyDescent="0.25">
      <c r="A526">
        <v>525</v>
      </c>
      <c r="B526" s="2">
        <v>44986</v>
      </c>
      <c r="C526">
        <v>2023</v>
      </c>
      <c r="D526" t="s">
        <v>24</v>
      </c>
      <c r="E526" s="2">
        <v>44989</v>
      </c>
      <c r="F526">
        <v>3</v>
      </c>
      <c r="G526" t="s">
        <v>33</v>
      </c>
      <c r="H526" t="s">
        <v>123</v>
      </c>
      <c r="I526" t="s">
        <v>323</v>
      </c>
      <c r="J526" t="s">
        <v>327</v>
      </c>
      <c r="K526" t="s">
        <v>330</v>
      </c>
      <c r="L526" t="s">
        <v>339</v>
      </c>
      <c r="M526" t="s">
        <v>346</v>
      </c>
      <c r="N526" t="s">
        <v>350</v>
      </c>
      <c r="O526" t="s">
        <v>354</v>
      </c>
      <c r="P526" t="s">
        <v>362</v>
      </c>
      <c r="Q526">
        <v>55.02</v>
      </c>
      <c r="R526">
        <v>1</v>
      </c>
      <c r="S526">
        <v>26.96</v>
      </c>
    </row>
    <row r="527" spans="1:19" x14ac:dyDescent="0.25">
      <c r="A527">
        <v>526</v>
      </c>
      <c r="B527" s="2">
        <v>44892</v>
      </c>
      <c r="C527">
        <v>2022</v>
      </c>
      <c r="D527" t="s">
        <v>30</v>
      </c>
      <c r="E527" s="2">
        <v>44895</v>
      </c>
      <c r="F527">
        <v>3</v>
      </c>
      <c r="G527" t="s">
        <v>33</v>
      </c>
      <c r="H527" t="s">
        <v>176</v>
      </c>
      <c r="I527" t="s">
        <v>323</v>
      </c>
      <c r="J527" t="s">
        <v>328</v>
      </c>
      <c r="K527" t="s">
        <v>336</v>
      </c>
      <c r="L527" t="s">
        <v>343</v>
      </c>
      <c r="M527" t="s">
        <v>347</v>
      </c>
      <c r="N527" t="s">
        <v>351</v>
      </c>
      <c r="O527" t="s">
        <v>355</v>
      </c>
      <c r="P527" t="s">
        <v>362</v>
      </c>
      <c r="Q527">
        <v>135.85</v>
      </c>
      <c r="R527">
        <v>10</v>
      </c>
      <c r="S527">
        <v>-27.61</v>
      </c>
    </row>
    <row r="528" spans="1:19" x14ac:dyDescent="0.25">
      <c r="A528">
        <v>527</v>
      </c>
      <c r="B528" s="2">
        <v>45716</v>
      </c>
      <c r="C528">
        <v>2025</v>
      </c>
      <c r="D528" t="s">
        <v>28</v>
      </c>
      <c r="E528" s="2">
        <v>45723</v>
      </c>
      <c r="F528">
        <v>7</v>
      </c>
      <c r="G528" t="s">
        <v>32</v>
      </c>
      <c r="H528" t="s">
        <v>53</v>
      </c>
      <c r="I528" t="s">
        <v>323</v>
      </c>
      <c r="J528" t="s">
        <v>328</v>
      </c>
      <c r="K528" t="s">
        <v>336</v>
      </c>
      <c r="L528" t="s">
        <v>343</v>
      </c>
      <c r="M528" t="s">
        <v>347</v>
      </c>
      <c r="N528" t="s">
        <v>350</v>
      </c>
      <c r="O528" t="s">
        <v>353</v>
      </c>
      <c r="P528" t="s">
        <v>361</v>
      </c>
      <c r="Q528">
        <v>155.5</v>
      </c>
      <c r="R528">
        <v>5</v>
      </c>
      <c r="S528">
        <v>41.81</v>
      </c>
    </row>
    <row r="529" spans="1:19" x14ac:dyDescent="0.25">
      <c r="A529">
        <v>528</v>
      </c>
      <c r="B529" s="2">
        <v>44360</v>
      </c>
      <c r="C529">
        <v>2021</v>
      </c>
      <c r="D529" t="s">
        <v>21</v>
      </c>
      <c r="E529" s="2">
        <v>44362</v>
      </c>
      <c r="F529">
        <v>2</v>
      </c>
      <c r="G529" t="s">
        <v>34</v>
      </c>
      <c r="H529" t="s">
        <v>84</v>
      </c>
      <c r="I529" t="s">
        <v>325</v>
      </c>
      <c r="J529" t="s">
        <v>328</v>
      </c>
      <c r="K529" t="s">
        <v>332</v>
      </c>
      <c r="L529" t="s">
        <v>341</v>
      </c>
      <c r="M529" t="s">
        <v>348</v>
      </c>
      <c r="N529" t="s">
        <v>351</v>
      </c>
      <c r="O529" t="s">
        <v>356</v>
      </c>
      <c r="P529" t="s">
        <v>361</v>
      </c>
      <c r="Q529">
        <v>303.85000000000002</v>
      </c>
      <c r="R529">
        <v>3</v>
      </c>
      <c r="S529">
        <v>122.87</v>
      </c>
    </row>
    <row r="530" spans="1:19" x14ac:dyDescent="0.25">
      <c r="A530">
        <v>529</v>
      </c>
      <c r="B530" s="2">
        <v>44472</v>
      </c>
      <c r="C530">
        <v>2021</v>
      </c>
      <c r="D530" t="s">
        <v>22</v>
      </c>
      <c r="E530" s="2">
        <v>44476</v>
      </c>
      <c r="F530">
        <v>4</v>
      </c>
      <c r="G530" t="s">
        <v>33</v>
      </c>
      <c r="H530" t="s">
        <v>216</v>
      </c>
      <c r="I530" t="s">
        <v>323</v>
      </c>
      <c r="J530" t="s">
        <v>326</v>
      </c>
      <c r="K530" t="s">
        <v>333</v>
      </c>
      <c r="L530" t="s">
        <v>342</v>
      </c>
      <c r="M530" t="s">
        <v>345</v>
      </c>
      <c r="N530" t="s">
        <v>351</v>
      </c>
      <c r="O530" t="s">
        <v>355</v>
      </c>
      <c r="P530" t="s">
        <v>360</v>
      </c>
      <c r="Q530">
        <v>177.2</v>
      </c>
      <c r="R530">
        <v>1</v>
      </c>
      <c r="S530">
        <v>50.25</v>
      </c>
    </row>
    <row r="531" spans="1:19" x14ac:dyDescent="0.25">
      <c r="A531">
        <v>530</v>
      </c>
      <c r="B531" s="2">
        <v>44553</v>
      </c>
      <c r="C531">
        <v>2021</v>
      </c>
      <c r="D531" t="s">
        <v>29</v>
      </c>
      <c r="E531" s="2">
        <v>44558</v>
      </c>
      <c r="F531">
        <v>5</v>
      </c>
      <c r="G531" t="s">
        <v>34</v>
      </c>
      <c r="H531" t="s">
        <v>58</v>
      </c>
      <c r="I531" t="s">
        <v>325</v>
      </c>
      <c r="J531" t="s">
        <v>328</v>
      </c>
      <c r="K531" t="s">
        <v>332</v>
      </c>
      <c r="L531" t="s">
        <v>341</v>
      </c>
      <c r="M531" t="s">
        <v>348</v>
      </c>
      <c r="N531" t="s">
        <v>352</v>
      </c>
      <c r="O531" t="s">
        <v>358</v>
      </c>
      <c r="P531" t="s">
        <v>360</v>
      </c>
      <c r="Q531">
        <v>392.01</v>
      </c>
      <c r="R531">
        <v>9</v>
      </c>
      <c r="S531">
        <v>108.64</v>
      </c>
    </row>
    <row r="532" spans="1:19" x14ac:dyDescent="0.25">
      <c r="A532">
        <v>531</v>
      </c>
      <c r="B532" s="2">
        <v>43911</v>
      </c>
      <c r="C532">
        <v>2020</v>
      </c>
      <c r="D532" t="s">
        <v>24</v>
      </c>
      <c r="E532" s="2">
        <v>43917</v>
      </c>
      <c r="F532">
        <v>6</v>
      </c>
      <c r="G532" t="s">
        <v>33</v>
      </c>
      <c r="H532" t="s">
        <v>123</v>
      </c>
      <c r="I532" t="s">
        <v>325</v>
      </c>
      <c r="J532" t="s">
        <v>326</v>
      </c>
      <c r="K532" t="s">
        <v>331</v>
      </c>
      <c r="L532" t="s">
        <v>340</v>
      </c>
      <c r="M532" t="s">
        <v>347</v>
      </c>
      <c r="N532" t="s">
        <v>351</v>
      </c>
      <c r="O532" t="s">
        <v>356</v>
      </c>
      <c r="P532" t="s">
        <v>361</v>
      </c>
      <c r="Q532">
        <v>297.62</v>
      </c>
      <c r="R532">
        <v>7</v>
      </c>
      <c r="S532">
        <v>-80.91</v>
      </c>
    </row>
    <row r="533" spans="1:19" x14ac:dyDescent="0.25">
      <c r="A533">
        <v>532</v>
      </c>
      <c r="B533" s="2">
        <v>45185</v>
      </c>
      <c r="C533">
        <v>2023</v>
      </c>
      <c r="D533" t="s">
        <v>25</v>
      </c>
      <c r="E533" s="2">
        <v>45195</v>
      </c>
      <c r="F533">
        <v>10</v>
      </c>
      <c r="G533" t="s">
        <v>31</v>
      </c>
      <c r="H533" t="s">
        <v>280</v>
      </c>
      <c r="I533" t="s">
        <v>324</v>
      </c>
      <c r="J533" t="s">
        <v>328</v>
      </c>
      <c r="K533" t="s">
        <v>335</v>
      </c>
      <c r="L533" t="s">
        <v>335</v>
      </c>
      <c r="M533" t="s">
        <v>345</v>
      </c>
      <c r="N533" t="s">
        <v>350</v>
      </c>
      <c r="O533" t="s">
        <v>353</v>
      </c>
      <c r="P533" t="s">
        <v>359</v>
      </c>
      <c r="Q533">
        <v>66.44</v>
      </c>
      <c r="R533">
        <v>4</v>
      </c>
      <c r="S533">
        <v>-8.5399999999999991</v>
      </c>
    </row>
    <row r="534" spans="1:19" x14ac:dyDescent="0.25">
      <c r="A534">
        <v>533</v>
      </c>
      <c r="B534" s="2">
        <v>44346</v>
      </c>
      <c r="C534">
        <v>2021</v>
      </c>
      <c r="D534" t="s">
        <v>19</v>
      </c>
      <c r="E534" s="2">
        <v>44355</v>
      </c>
      <c r="F534">
        <v>9</v>
      </c>
      <c r="G534" t="s">
        <v>31</v>
      </c>
      <c r="H534" t="s">
        <v>124</v>
      </c>
      <c r="I534" t="s">
        <v>324</v>
      </c>
      <c r="J534" t="s">
        <v>328</v>
      </c>
      <c r="K534" t="s">
        <v>332</v>
      </c>
      <c r="L534" t="s">
        <v>341</v>
      </c>
      <c r="M534" t="s">
        <v>348</v>
      </c>
      <c r="N534" t="s">
        <v>351</v>
      </c>
      <c r="O534" t="s">
        <v>355</v>
      </c>
      <c r="P534" t="s">
        <v>359</v>
      </c>
      <c r="Q534">
        <v>251.98</v>
      </c>
      <c r="R534">
        <v>4</v>
      </c>
      <c r="S534">
        <v>76.25</v>
      </c>
    </row>
    <row r="535" spans="1:19" x14ac:dyDescent="0.25">
      <c r="A535">
        <v>534</v>
      </c>
      <c r="B535" s="2">
        <v>45636</v>
      </c>
      <c r="C535">
        <v>2024</v>
      </c>
      <c r="D535" t="s">
        <v>29</v>
      </c>
      <c r="E535" s="2">
        <v>45646</v>
      </c>
      <c r="F535">
        <v>10</v>
      </c>
      <c r="G535" t="s">
        <v>34</v>
      </c>
      <c r="H535" t="s">
        <v>211</v>
      </c>
      <c r="I535" t="s">
        <v>324</v>
      </c>
      <c r="J535" t="s">
        <v>326</v>
      </c>
      <c r="K535" t="s">
        <v>333</v>
      </c>
      <c r="L535" t="s">
        <v>342</v>
      </c>
      <c r="M535" t="s">
        <v>345</v>
      </c>
      <c r="N535" t="s">
        <v>352</v>
      </c>
      <c r="O535" t="s">
        <v>357</v>
      </c>
      <c r="P535" t="s">
        <v>360</v>
      </c>
      <c r="Q535">
        <v>190.48</v>
      </c>
      <c r="R535">
        <v>1</v>
      </c>
      <c r="S535">
        <v>63.28</v>
      </c>
    </row>
    <row r="536" spans="1:19" x14ac:dyDescent="0.25">
      <c r="A536">
        <v>535</v>
      </c>
      <c r="B536" s="2">
        <v>44567</v>
      </c>
      <c r="C536">
        <v>2022</v>
      </c>
      <c r="D536" t="s">
        <v>23</v>
      </c>
      <c r="E536" s="2">
        <v>44568</v>
      </c>
      <c r="F536">
        <v>1</v>
      </c>
      <c r="G536" t="s">
        <v>34</v>
      </c>
      <c r="H536" t="s">
        <v>169</v>
      </c>
      <c r="I536" t="s">
        <v>323</v>
      </c>
      <c r="J536" t="s">
        <v>327</v>
      </c>
      <c r="K536" t="s">
        <v>330</v>
      </c>
      <c r="L536" t="s">
        <v>339</v>
      </c>
      <c r="M536" t="s">
        <v>346</v>
      </c>
      <c r="N536" t="s">
        <v>350</v>
      </c>
      <c r="O536" t="s">
        <v>353</v>
      </c>
      <c r="P536" t="s">
        <v>361</v>
      </c>
      <c r="Q536">
        <v>174.44</v>
      </c>
      <c r="R536">
        <v>7</v>
      </c>
      <c r="S536">
        <v>3.65</v>
      </c>
    </row>
    <row r="537" spans="1:19" x14ac:dyDescent="0.25">
      <c r="A537">
        <v>536</v>
      </c>
      <c r="B537" s="2">
        <v>44814</v>
      </c>
      <c r="C537">
        <v>2022</v>
      </c>
      <c r="D537" t="s">
        <v>25</v>
      </c>
      <c r="E537" s="2">
        <v>44820</v>
      </c>
      <c r="F537">
        <v>6</v>
      </c>
      <c r="G537" t="s">
        <v>34</v>
      </c>
      <c r="H537" t="s">
        <v>281</v>
      </c>
      <c r="I537" t="s">
        <v>324</v>
      </c>
      <c r="J537" t="s">
        <v>326</v>
      </c>
      <c r="K537" t="s">
        <v>333</v>
      </c>
      <c r="L537" t="s">
        <v>342</v>
      </c>
      <c r="M537" t="s">
        <v>345</v>
      </c>
      <c r="N537" t="s">
        <v>351</v>
      </c>
      <c r="O537" t="s">
        <v>355</v>
      </c>
      <c r="P537" t="s">
        <v>360</v>
      </c>
      <c r="Q537">
        <v>133.38999999999999</v>
      </c>
      <c r="R537">
        <v>6</v>
      </c>
      <c r="S537">
        <v>36.14</v>
      </c>
    </row>
    <row r="538" spans="1:19" x14ac:dyDescent="0.25">
      <c r="A538">
        <v>537</v>
      </c>
      <c r="B538" s="2">
        <v>45077</v>
      </c>
      <c r="C538">
        <v>2023</v>
      </c>
      <c r="D538" t="s">
        <v>19</v>
      </c>
      <c r="E538" s="2">
        <v>45086</v>
      </c>
      <c r="F538">
        <v>9</v>
      </c>
      <c r="G538" t="s">
        <v>34</v>
      </c>
      <c r="H538" t="s">
        <v>138</v>
      </c>
      <c r="I538" t="s">
        <v>323</v>
      </c>
      <c r="J538" t="s">
        <v>327</v>
      </c>
      <c r="K538" t="s">
        <v>334</v>
      </c>
      <c r="L538" t="s">
        <v>334</v>
      </c>
      <c r="M538" t="s">
        <v>349</v>
      </c>
      <c r="N538" t="s">
        <v>350</v>
      </c>
      <c r="O538" t="s">
        <v>354</v>
      </c>
      <c r="P538" t="s">
        <v>362</v>
      </c>
      <c r="Q538">
        <v>403.8</v>
      </c>
      <c r="R538">
        <v>5</v>
      </c>
      <c r="S538">
        <v>-46.47</v>
      </c>
    </row>
    <row r="539" spans="1:19" x14ac:dyDescent="0.25">
      <c r="A539">
        <v>538</v>
      </c>
      <c r="B539" s="2">
        <v>45426</v>
      </c>
      <c r="C539">
        <v>2024</v>
      </c>
      <c r="D539" t="s">
        <v>19</v>
      </c>
      <c r="E539" s="2">
        <v>45432</v>
      </c>
      <c r="F539">
        <v>6</v>
      </c>
      <c r="G539" t="s">
        <v>31</v>
      </c>
      <c r="H539" t="s">
        <v>55</v>
      </c>
      <c r="I539" t="s">
        <v>325</v>
      </c>
      <c r="J539" t="s">
        <v>328</v>
      </c>
      <c r="K539" t="s">
        <v>332</v>
      </c>
      <c r="L539" t="s">
        <v>341</v>
      </c>
      <c r="M539" t="s">
        <v>348</v>
      </c>
      <c r="N539" t="s">
        <v>351</v>
      </c>
      <c r="O539" t="s">
        <v>356</v>
      </c>
      <c r="P539" t="s">
        <v>361</v>
      </c>
      <c r="Q539">
        <v>227.83</v>
      </c>
      <c r="R539">
        <v>9</v>
      </c>
      <c r="S539">
        <v>21.44</v>
      </c>
    </row>
    <row r="540" spans="1:19" x14ac:dyDescent="0.25">
      <c r="A540">
        <v>539</v>
      </c>
      <c r="B540" s="2">
        <v>44037</v>
      </c>
      <c r="C540">
        <v>2020</v>
      </c>
      <c r="D540" t="s">
        <v>20</v>
      </c>
      <c r="E540" s="2">
        <v>44046</v>
      </c>
      <c r="F540">
        <v>9</v>
      </c>
      <c r="G540" t="s">
        <v>31</v>
      </c>
      <c r="H540" t="s">
        <v>100</v>
      </c>
      <c r="I540" t="s">
        <v>325</v>
      </c>
      <c r="J540" t="s">
        <v>327</v>
      </c>
      <c r="K540" t="s">
        <v>334</v>
      </c>
      <c r="L540" t="s">
        <v>334</v>
      </c>
      <c r="M540" t="s">
        <v>349</v>
      </c>
      <c r="N540" t="s">
        <v>350</v>
      </c>
      <c r="O540" t="s">
        <v>353</v>
      </c>
      <c r="P540" t="s">
        <v>361</v>
      </c>
      <c r="Q540">
        <v>161.63</v>
      </c>
      <c r="R540">
        <v>6</v>
      </c>
      <c r="S540">
        <v>-8.39</v>
      </c>
    </row>
    <row r="541" spans="1:19" x14ac:dyDescent="0.25">
      <c r="A541">
        <v>540</v>
      </c>
      <c r="B541" s="2">
        <v>45362</v>
      </c>
      <c r="C541">
        <v>2024</v>
      </c>
      <c r="D541" t="s">
        <v>24</v>
      </c>
      <c r="E541" s="2">
        <v>45370</v>
      </c>
      <c r="F541">
        <v>8</v>
      </c>
      <c r="G541" t="s">
        <v>34</v>
      </c>
      <c r="H541" t="s">
        <v>162</v>
      </c>
      <c r="I541" t="s">
        <v>323</v>
      </c>
      <c r="J541" t="s">
        <v>326</v>
      </c>
      <c r="K541" t="s">
        <v>331</v>
      </c>
      <c r="L541" t="s">
        <v>340</v>
      </c>
      <c r="M541" t="s">
        <v>347</v>
      </c>
      <c r="N541" t="s">
        <v>351</v>
      </c>
      <c r="O541" t="s">
        <v>355</v>
      </c>
      <c r="P541" t="s">
        <v>359</v>
      </c>
      <c r="Q541">
        <v>378.66</v>
      </c>
      <c r="R541">
        <v>1</v>
      </c>
      <c r="S541">
        <v>57.24</v>
      </c>
    </row>
    <row r="542" spans="1:19" x14ac:dyDescent="0.25">
      <c r="A542">
        <v>541</v>
      </c>
      <c r="B542" s="2">
        <v>44925</v>
      </c>
      <c r="C542">
        <v>2022</v>
      </c>
      <c r="D542" t="s">
        <v>29</v>
      </c>
      <c r="E542" s="2">
        <v>44929</v>
      </c>
      <c r="F542">
        <v>4</v>
      </c>
      <c r="G542" t="s">
        <v>34</v>
      </c>
      <c r="H542" t="s">
        <v>282</v>
      </c>
      <c r="I542" t="s">
        <v>323</v>
      </c>
      <c r="J542" t="s">
        <v>326</v>
      </c>
      <c r="K542" t="s">
        <v>331</v>
      </c>
      <c r="L542" t="s">
        <v>340</v>
      </c>
      <c r="M542" t="s">
        <v>347</v>
      </c>
      <c r="N542" t="s">
        <v>351</v>
      </c>
      <c r="O542" t="s">
        <v>355</v>
      </c>
      <c r="P542" t="s">
        <v>362</v>
      </c>
      <c r="Q542">
        <v>93.03</v>
      </c>
      <c r="R542">
        <v>4</v>
      </c>
      <c r="S542">
        <v>12.19</v>
      </c>
    </row>
    <row r="543" spans="1:19" x14ac:dyDescent="0.25">
      <c r="A543">
        <v>542</v>
      </c>
      <c r="B543" s="2">
        <v>46006</v>
      </c>
      <c r="C543">
        <v>2025</v>
      </c>
      <c r="D543" t="s">
        <v>29</v>
      </c>
      <c r="E543" s="2">
        <v>46007</v>
      </c>
      <c r="F543">
        <v>1</v>
      </c>
      <c r="G543" t="s">
        <v>32</v>
      </c>
      <c r="H543" t="s">
        <v>171</v>
      </c>
      <c r="I543" t="s">
        <v>323</v>
      </c>
      <c r="J543" t="s">
        <v>327</v>
      </c>
      <c r="K543" t="s">
        <v>334</v>
      </c>
      <c r="L543" t="s">
        <v>334</v>
      </c>
      <c r="M543" t="s">
        <v>349</v>
      </c>
      <c r="N543" t="s">
        <v>351</v>
      </c>
      <c r="O543" t="s">
        <v>356</v>
      </c>
      <c r="P543" t="s">
        <v>360</v>
      </c>
      <c r="Q543">
        <v>407.13</v>
      </c>
      <c r="R543">
        <v>6</v>
      </c>
      <c r="S543">
        <v>-33.5</v>
      </c>
    </row>
    <row r="544" spans="1:19" x14ac:dyDescent="0.25">
      <c r="A544">
        <v>543</v>
      </c>
      <c r="B544" s="2">
        <v>44294</v>
      </c>
      <c r="C544">
        <v>2021</v>
      </c>
      <c r="D544" t="s">
        <v>26</v>
      </c>
      <c r="E544" s="2">
        <v>44297</v>
      </c>
      <c r="F544">
        <v>3</v>
      </c>
      <c r="G544" t="s">
        <v>32</v>
      </c>
      <c r="H544" t="s">
        <v>254</v>
      </c>
      <c r="I544" t="s">
        <v>324</v>
      </c>
      <c r="J544" t="s">
        <v>326</v>
      </c>
      <c r="K544" t="s">
        <v>329</v>
      </c>
      <c r="L544" t="s">
        <v>338</v>
      </c>
      <c r="M544" t="s">
        <v>345</v>
      </c>
      <c r="N544" t="s">
        <v>351</v>
      </c>
      <c r="O544" t="s">
        <v>355</v>
      </c>
      <c r="P544" t="s">
        <v>360</v>
      </c>
      <c r="Q544">
        <v>310.45</v>
      </c>
      <c r="R544">
        <v>7</v>
      </c>
      <c r="S544">
        <v>-4.99</v>
      </c>
    </row>
    <row r="545" spans="1:19" x14ac:dyDescent="0.25">
      <c r="A545">
        <v>544</v>
      </c>
      <c r="B545" s="2">
        <v>44770</v>
      </c>
      <c r="C545">
        <v>2022</v>
      </c>
      <c r="D545" t="s">
        <v>20</v>
      </c>
      <c r="E545" s="2">
        <v>44772</v>
      </c>
      <c r="F545">
        <v>2</v>
      </c>
      <c r="G545" t="s">
        <v>32</v>
      </c>
      <c r="H545" t="s">
        <v>241</v>
      </c>
      <c r="I545" t="s">
        <v>324</v>
      </c>
      <c r="J545" t="s">
        <v>327</v>
      </c>
      <c r="K545" t="s">
        <v>330</v>
      </c>
      <c r="L545" t="s">
        <v>339</v>
      </c>
      <c r="M545" t="s">
        <v>346</v>
      </c>
      <c r="N545" t="s">
        <v>350</v>
      </c>
      <c r="O545" t="s">
        <v>353</v>
      </c>
      <c r="P545" t="s">
        <v>359</v>
      </c>
      <c r="Q545">
        <v>339.82</v>
      </c>
      <c r="R545">
        <v>2</v>
      </c>
      <c r="S545">
        <v>-53.29</v>
      </c>
    </row>
    <row r="546" spans="1:19" x14ac:dyDescent="0.25">
      <c r="A546">
        <v>545</v>
      </c>
      <c r="B546" s="2">
        <v>44567</v>
      </c>
      <c r="C546">
        <v>2022</v>
      </c>
      <c r="D546" t="s">
        <v>23</v>
      </c>
      <c r="E546" s="2">
        <v>44574</v>
      </c>
      <c r="F546">
        <v>7</v>
      </c>
      <c r="G546" t="s">
        <v>31</v>
      </c>
      <c r="H546" t="s">
        <v>116</v>
      </c>
      <c r="I546" t="s">
        <v>325</v>
      </c>
      <c r="J546" t="s">
        <v>328</v>
      </c>
      <c r="K546" t="s">
        <v>336</v>
      </c>
      <c r="L546" t="s">
        <v>343</v>
      </c>
      <c r="M546" t="s">
        <v>347</v>
      </c>
      <c r="N546" t="s">
        <v>352</v>
      </c>
      <c r="O546" t="s">
        <v>358</v>
      </c>
      <c r="P546" t="s">
        <v>360</v>
      </c>
      <c r="Q546">
        <v>434.53</v>
      </c>
      <c r="R546">
        <v>8</v>
      </c>
      <c r="S546">
        <v>112.41</v>
      </c>
    </row>
    <row r="547" spans="1:19" x14ac:dyDescent="0.25">
      <c r="A547">
        <v>546</v>
      </c>
      <c r="B547" s="2">
        <v>44550</v>
      </c>
      <c r="C547">
        <v>2021</v>
      </c>
      <c r="D547" t="s">
        <v>29</v>
      </c>
      <c r="E547" s="2">
        <v>44551</v>
      </c>
      <c r="F547">
        <v>1</v>
      </c>
      <c r="G547" t="s">
        <v>33</v>
      </c>
      <c r="H547" t="s">
        <v>179</v>
      </c>
      <c r="I547" t="s">
        <v>323</v>
      </c>
      <c r="J547" t="s">
        <v>326</v>
      </c>
      <c r="K547" t="s">
        <v>329</v>
      </c>
      <c r="L547" t="s">
        <v>338</v>
      </c>
      <c r="M547" t="s">
        <v>345</v>
      </c>
      <c r="N547" t="s">
        <v>351</v>
      </c>
      <c r="O547" t="s">
        <v>356</v>
      </c>
      <c r="P547" t="s">
        <v>361</v>
      </c>
      <c r="Q547">
        <v>303.94</v>
      </c>
      <c r="R547">
        <v>3</v>
      </c>
      <c r="S547">
        <v>-2.2400000000000002</v>
      </c>
    </row>
    <row r="548" spans="1:19" x14ac:dyDescent="0.25">
      <c r="A548">
        <v>547</v>
      </c>
      <c r="B548" s="2">
        <v>44626</v>
      </c>
      <c r="C548">
        <v>2022</v>
      </c>
      <c r="D548" t="s">
        <v>24</v>
      </c>
      <c r="E548" s="2">
        <v>44630</v>
      </c>
      <c r="F548">
        <v>4</v>
      </c>
      <c r="G548" t="s">
        <v>33</v>
      </c>
      <c r="H548" t="s">
        <v>119</v>
      </c>
      <c r="I548" t="s">
        <v>325</v>
      </c>
      <c r="J548" t="s">
        <v>326</v>
      </c>
      <c r="K548" t="s">
        <v>331</v>
      </c>
      <c r="L548" t="s">
        <v>340</v>
      </c>
      <c r="M548" t="s">
        <v>347</v>
      </c>
      <c r="N548" t="s">
        <v>350</v>
      </c>
      <c r="O548" t="s">
        <v>353</v>
      </c>
      <c r="P548" t="s">
        <v>359</v>
      </c>
      <c r="Q548">
        <v>34.909999999999997</v>
      </c>
      <c r="R548">
        <v>3</v>
      </c>
      <c r="S548">
        <v>10.59</v>
      </c>
    </row>
    <row r="549" spans="1:19" x14ac:dyDescent="0.25">
      <c r="A549">
        <v>548</v>
      </c>
      <c r="B549" s="2">
        <v>44991</v>
      </c>
      <c r="C549">
        <v>2023</v>
      </c>
      <c r="D549" t="s">
        <v>24</v>
      </c>
      <c r="E549" s="2">
        <v>45001</v>
      </c>
      <c r="F549">
        <v>10</v>
      </c>
      <c r="G549" t="s">
        <v>31</v>
      </c>
      <c r="H549" t="s">
        <v>222</v>
      </c>
      <c r="I549" t="s">
        <v>324</v>
      </c>
      <c r="J549" t="s">
        <v>327</v>
      </c>
      <c r="K549" t="s">
        <v>330</v>
      </c>
      <c r="L549" t="s">
        <v>339</v>
      </c>
      <c r="M549" t="s">
        <v>346</v>
      </c>
      <c r="N549" t="s">
        <v>351</v>
      </c>
      <c r="O549" t="s">
        <v>356</v>
      </c>
      <c r="P549" t="s">
        <v>362</v>
      </c>
      <c r="Q549">
        <v>406.72</v>
      </c>
      <c r="R549">
        <v>2</v>
      </c>
      <c r="S549">
        <v>-59.17</v>
      </c>
    </row>
    <row r="550" spans="1:19" x14ac:dyDescent="0.25">
      <c r="A550">
        <v>549</v>
      </c>
      <c r="B550" s="2">
        <v>45826</v>
      </c>
      <c r="C550">
        <v>2025</v>
      </c>
      <c r="D550" t="s">
        <v>21</v>
      </c>
      <c r="E550" s="2">
        <v>45835</v>
      </c>
      <c r="F550">
        <v>9</v>
      </c>
      <c r="G550" t="s">
        <v>32</v>
      </c>
      <c r="H550" t="s">
        <v>283</v>
      </c>
      <c r="I550" t="s">
        <v>324</v>
      </c>
      <c r="J550" t="s">
        <v>326</v>
      </c>
      <c r="K550" t="s">
        <v>329</v>
      </c>
      <c r="L550" t="s">
        <v>338</v>
      </c>
      <c r="M550" t="s">
        <v>345</v>
      </c>
      <c r="N550" t="s">
        <v>350</v>
      </c>
      <c r="O550" t="s">
        <v>353</v>
      </c>
      <c r="P550" t="s">
        <v>360</v>
      </c>
      <c r="Q550">
        <v>416.95</v>
      </c>
      <c r="R550">
        <v>7</v>
      </c>
      <c r="S550">
        <v>78.84</v>
      </c>
    </row>
    <row r="551" spans="1:19" x14ac:dyDescent="0.25">
      <c r="A551">
        <v>550</v>
      </c>
      <c r="B551" s="2">
        <v>45682</v>
      </c>
      <c r="C551">
        <v>2025</v>
      </c>
      <c r="D551" t="s">
        <v>23</v>
      </c>
      <c r="E551" s="2">
        <v>45684</v>
      </c>
      <c r="F551">
        <v>2</v>
      </c>
      <c r="G551" t="s">
        <v>33</v>
      </c>
      <c r="H551" t="s">
        <v>284</v>
      </c>
      <c r="I551" t="s">
        <v>323</v>
      </c>
      <c r="J551" t="s">
        <v>328</v>
      </c>
      <c r="K551" t="s">
        <v>332</v>
      </c>
      <c r="L551" t="s">
        <v>341</v>
      </c>
      <c r="M551" t="s">
        <v>348</v>
      </c>
      <c r="N551" t="s">
        <v>352</v>
      </c>
      <c r="O551" t="s">
        <v>358</v>
      </c>
      <c r="P551" t="s">
        <v>359</v>
      </c>
      <c r="Q551">
        <v>202.79</v>
      </c>
      <c r="R551">
        <v>5</v>
      </c>
      <c r="S551">
        <v>-32.74</v>
      </c>
    </row>
    <row r="552" spans="1:19" x14ac:dyDescent="0.25">
      <c r="A552">
        <v>551</v>
      </c>
      <c r="B552" s="2">
        <v>45805</v>
      </c>
      <c r="C552">
        <v>2025</v>
      </c>
      <c r="D552" t="s">
        <v>19</v>
      </c>
      <c r="E552" s="2">
        <v>45812</v>
      </c>
      <c r="F552">
        <v>7</v>
      </c>
      <c r="G552" t="s">
        <v>34</v>
      </c>
      <c r="H552" t="s">
        <v>193</v>
      </c>
      <c r="I552" t="s">
        <v>325</v>
      </c>
      <c r="J552" t="s">
        <v>328</v>
      </c>
      <c r="K552" t="s">
        <v>332</v>
      </c>
      <c r="L552" t="s">
        <v>341</v>
      </c>
      <c r="M552" t="s">
        <v>348</v>
      </c>
      <c r="N552" t="s">
        <v>352</v>
      </c>
      <c r="O552" t="s">
        <v>357</v>
      </c>
      <c r="P552" t="s">
        <v>362</v>
      </c>
      <c r="Q552">
        <v>67.06</v>
      </c>
      <c r="R552">
        <v>8</v>
      </c>
      <c r="S552">
        <v>-19.16</v>
      </c>
    </row>
    <row r="553" spans="1:19" x14ac:dyDescent="0.25">
      <c r="A553">
        <v>552</v>
      </c>
      <c r="B553" s="2">
        <v>44806</v>
      </c>
      <c r="C553">
        <v>2022</v>
      </c>
      <c r="D553" t="s">
        <v>25</v>
      </c>
      <c r="E553" s="2">
        <v>44807</v>
      </c>
      <c r="F553">
        <v>1</v>
      </c>
      <c r="G553" t="s">
        <v>31</v>
      </c>
      <c r="H553" t="s">
        <v>88</v>
      </c>
      <c r="I553" t="s">
        <v>323</v>
      </c>
      <c r="J553" t="s">
        <v>327</v>
      </c>
      <c r="K553" t="s">
        <v>330</v>
      </c>
      <c r="L553" t="s">
        <v>339</v>
      </c>
      <c r="M553" t="s">
        <v>346</v>
      </c>
      <c r="N553" t="s">
        <v>352</v>
      </c>
      <c r="O553" t="s">
        <v>358</v>
      </c>
      <c r="P553" t="s">
        <v>360</v>
      </c>
      <c r="Q553">
        <v>203.23</v>
      </c>
      <c r="R553">
        <v>2</v>
      </c>
      <c r="S553">
        <v>18.010000000000002</v>
      </c>
    </row>
    <row r="554" spans="1:19" x14ac:dyDescent="0.25">
      <c r="A554">
        <v>553</v>
      </c>
      <c r="B554" s="2">
        <v>45134</v>
      </c>
      <c r="C554">
        <v>2023</v>
      </c>
      <c r="D554" t="s">
        <v>20</v>
      </c>
      <c r="E554" s="2">
        <v>45137</v>
      </c>
      <c r="F554">
        <v>3</v>
      </c>
      <c r="G554" t="s">
        <v>34</v>
      </c>
      <c r="H554" t="s">
        <v>85</v>
      </c>
      <c r="I554" t="s">
        <v>323</v>
      </c>
      <c r="J554" t="s">
        <v>327</v>
      </c>
      <c r="K554" t="s">
        <v>334</v>
      </c>
      <c r="L554" t="s">
        <v>334</v>
      </c>
      <c r="M554" t="s">
        <v>349</v>
      </c>
      <c r="N554" t="s">
        <v>350</v>
      </c>
      <c r="O554" t="s">
        <v>353</v>
      </c>
      <c r="P554" t="s">
        <v>361</v>
      </c>
      <c r="Q554">
        <v>79.400000000000006</v>
      </c>
      <c r="R554">
        <v>2</v>
      </c>
      <c r="S554">
        <v>11.41</v>
      </c>
    </row>
    <row r="555" spans="1:19" x14ac:dyDescent="0.25">
      <c r="A555">
        <v>554</v>
      </c>
      <c r="B555" s="2">
        <v>45866</v>
      </c>
      <c r="C555">
        <v>2025</v>
      </c>
      <c r="D555" t="s">
        <v>20</v>
      </c>
      <c r="E555" s="2">
        <v>45876</v>
      </c>
      <c r="F555">
        <v>10</v>
      </c>
      <c r="G555" t="s">
        <v>33</v>
      </c>
      <c r="H555" t="s">
        <v>285</v>
      </c>
      <c r="I555" t="s">
        <v>323</v>
      </c>
      <c r="J555" t="s">
        <v>328</v>
      </c>
      <c r="K555" t="s">
        <v>335</v>
      </c>
      <c r="L555" t="s">
        <v>335</v>
      </c>
      <c r="M555" t="s">
        <v>345</v>
      </c>
      <c r="N555" t="s">
        <v>351</v>
      </c>
      <c r="O555" t="s">
        <v>355</v>
      </c>
      <c r="P555" t="s">
        <v>361</v>
      </c>
      <c r="Q555">
        <v>296.99</v>
      </c>
      <c r="R555">
        <v>3</v>
      </c>
      <c r="S555">
        <v>-69.31</v>
      </c>
    </row>
    <row r="556" spans="1:19" x14ac:dyDescent="0.25">
      <c r="A556">
        <v>555</v>
      </c>
      <c r="B556" s="2">
        <v>44281</v>
      </c>
      <c r="C556">
        <v>2021</v>
      </c>
      <c r="D556" t="s">
        <v>24</v>
      </c>
      <c r="E556" s="2">
        <v>44287</v>
      </c>
      <c r="F556">
        <v>6</v>
      </c>
      <c r="G556" t="s">
        <v>32</v>
      </c>
      <c r="H556" t="s">
        <v>68</v>
      </c>
      <c r="I556" t="s">
        <v>324</v>
      </c>
      <c r="J556" t="s">
        <v>327</v>
      </c>
      <c r="K556" t="s">
        <v>334</v>
      </c>
      <c r="L556" t="s">
        <v>334</v>
      </c>
      <c r="M556" t="s">
        <v>349</v>
      </c>
      <c r="N556" t="s">
        <v>350</v>
      </c>
      <c r="O556" t="s">
        <v>354</v>
      </c>
      <c r="P556" t="s">
        <v>359</v>
      </c>
      <c r="Q556">
        <v>53.57</v>
      </c>
      <c r="R556">
        <v>2</v>
      </c>
      <c r="S556">
        <v>1.65</v>
      </c>
    </row>
    <row r="557" spans="1:19" x14ac:dyDescent="0.25">
      <c r="A557">
        <v>556</v>
      </c>
      <c r="B557" s="2">
        <v>45074</v>
      </c>
      <c r="C557">
        <v>2023</v>
      </c>
      <c r="D557" t="s">
        <v>19</v>
      </c>
      <c r="E557" s="2">
        <v>45082</v>
      </c>
      <c r="F557">
        <v>8</v>
      </c>
      <c r="G557" t="s">
        <v>33</v>
      </c>
      <c r="H557" t="s">
        <v>279</v>
      </c>
      <c r="I557" t="s">
        <v>323</v>
      </c>
      <c r="J557" t="s">
        <v>326</v>
      </c>
      <c r="K557" t="s">
        <v>331</v>
      </c>
      <c r="L557" t="s">
        <v>340</v>
      </c>
      <c r="M557" t="s">
        <v>347</v>
      </c>
      <c r="N557" t="s">
        <v>351</v>
      </c>
      <c r="O557" t="s">
        <v>355</v>
      </c>
      <c r="P557" t="s">
        <v>360</v>
      </c>
      <c r="Q557">
        <v>436.73</v>
      </c>
      <c r="R557">
        <v>3</v>
      </c>
      <c r="S557">
        <v>-98.6</v>
      </c>
    </row>
    <row r="558" spans="1:19" x14ac:dyDescent="0.25">
      <c r="A558">
        <v>557</v>
      </c>
      <c r="B558" s="2">
        <v>45950</v>
      </c>
      <c r="C558">
        <v>2025</v>
      </c>
      <c r="D558" t="s">
        <v>22</v>
      </c>
      <c r="E558" s="2">
        <v>45959</v>
      </c>
      <c r="F558">
        <v>9</v>
      </c>
      <c r="G558" t="s">
        <v>31</v>
      </c>
      <c r="H558" t="s">
        <v>193</v>
      </c>
      <c r="I558" t="s">
        <v>323</v>
      </c>
      <c r="J558" t="s">
        <v>327</v>
      </c>
      <c r="K558" t="s">
        <v>334</v>
      </c>
      <c r="L558" t="s">
        <v>334</v>
      </c>
      <c r="M558" t="s">
        <v>349</v>
      </c>
      <c r="N558" t="s">
        <v>350</v>
      </c>
      <c r="O558" t="s">
        <v>354</v>
      </c>
      <c r="P558" t="s">
        <v>360</v>
      </c>
      <c r="Q558">
        <v>147.02000000000001</v>
      </c>
      <c r="R558">
        <v>1</v>
      </c>
      <c r="S558">
        <v>35.33</v>
      </c>
    </row>
    <row r="559" spans="1:19" x14ac:dyDescent="0.25">
      <c r="A559">
        <v>558</v>
      </c>
      <c r="B559" s="2">
        <v>44715</v>
      </c>
      <c r="C559">
        <v>2022</v>
      </c>
      <c r="D559" t="s">
        <v>21</v>
      </c>
      <c r="E559" s="2">
        <v>44718</v>
      </c>
      <c r="F559">
        <v>3</v>
      </c>
      <c r="G559" t="s">
        <v>34</v>
      </c>
      <c r="H559" t="s">
        <v>164</v>
      </c>
      <c r="I559" t="s">
        <v>324</v>
      </c>
      <c r="J559" t="s">
        <v>328</v>
      </c>
      <c r="K559" t="s">
        <v>336</v>
      </c>
      <c r="L559" t="s">
        <v>343</v>
      </c>
      <c r="M559" t="s">
        <v>347</v>
      </c>
      <c r="N559" t="s">
        <v>351</v>
      </c>
      <c r="O559" t="s">
        <v>355</v>
      </c>
      <c r="P559" t="s">
        <v>359</v>
      </c>
      <c r="Q559">
        <v>77.37</v>
      </c>
      <c r="R559">
        <v>4</v>
      </c>
      <c r="S559">
        <v>-22.81</v>
      </c>
    </row>
    <row r="560" spans="1:19" x14ac:dyDescent="0.25">
      <c r="A560">
        <v>559</v>
      </c>
      <c r="B560" s="2">
        <v>45808</v>
      </c>
      <c r="C560">
        <v>2025</v>
      </c>
      <c r="D560" t="s">
        <v>19</v>
      </c>
      <c r="E560" s="2">
        <v>45809</v>
      </c>
      <c r="F560">
        <v>1</v>
      </c>
      <c r="G560" t="s">
        <v>31</v>
      </c>
      <c r="H560" t="s">
        <v>223</v>
      </c>
      <c r="I560" t="s">
        <v>324</v>
      </c>
      <c r="J560" t="s">
        <v>327</v>
      </c>
      <c r="K560" t="s">
        <v>337</v>
      </c>
      <c r="L560" t="s">
        <v>344</v>
      </c>
      <c r="M560" t="s">
        <v>347</v>
      </c>
      <c r="N560" t="s">
        <v>352</v>
      </c>
      <c r="O560" t="s">
        <v>357</v>
      </c>
      <c r="P560" t="s">
        <v>362</v>
      </c>
      <c r="Q560">
        <v>58.01</v>
      </c>
      <c r="R560">
        <v>3</v>
      </c>
      <c r="S560">
        <v>20.53</v>
      </c>
    </row>
    <row r="561" spans="1:19" x14ac:dyDescent="0.25">
      <c r="A561">
        <v>560</v>
      </c>
      <c r="B561" s="2">
        <v>44187</v>
      </c>
      <c r="C561">
        <v>2020</v>
      </c>
      <c r="D561" t="s">
        <v>29</v>
      </c>
      <c r="E561" s="2">
        <v>44193</v>
      </c>
      <c r="F561">
        <v>6</v>
      </c>
      <c r="G561" t="s">
        <v>32</v>
      </c>
      <c r="H561" t="s">
        <v>156</v>
      </c>
      <c r="I561" t="s">
        <v>325</v>
      </c>
      <c r="J561" t="s">
        <v>326</v>
      </c>
      <c r="K561" t="s">
        <v>329</v>
      </c>
      <c r="L561" t="s">
        <v>338</v>
      </c>
      <c r="M561" t="s">
        <v>345</v>
      </c>
      <c r="N561" t="s">
        <v>352</v>
      </c>
      <c r="O561" t="s">
        <v>357</v>
      </c>
      <c r="P561" t="s">
        <v>361</v>
      </c>
      <c r="Q561">
        <v>177.5</v>
      </c>
      <c r="R561">
        <v>6</v>
      </c>
      <c r="S561">
        <v>65.17</v>
      </c>
    </row>
    <row r="562" spans="1:19" x14ac:dyDescent="0.25">
      <c r="A562">
        <v>561</v>
      </c>
      <c r="B562" s="2">
        <v>44428</v>
      </c>
      <c r="C562">
        <v>2021</v>
      </c>
      <c r="D562" t="s">
        <v>27</v>
      </c>
      <c r="E562" s="2">
        <v>44437</v>
      </c>
      <c r="F562">
        <v>9</v>
      </c>
      <c r="G562" t="s">
        <v>33</v>
      </c>
      <c r="H562" t="s">
        <v>243</v>
      </c>
      <c r="I562" t="s">
        <v>323</v>
      </c>
      <c r="J562" t="s">
        <v>327</v>
      </c>
      <c r="K562" t="s">
        <v>334</v>
      </c>
      <c r="L562" t="s">
        <v>334</v>
      </c>
      <c r="M562" t="s">
        <v>349</v>
      </c>
      <c r="N562" t="s">
        <v>352</v>
      </c>
      <c r="O562" t="s">
        <v>358</v>
      </c>
      <c r="P562" t="s">
        <v>362</v>
      </c>
      <c r="Q562">
        <v>376.76</v>
      </c>
      <c r="R562">
        <v>3</v>
      </c>
      <c r="S562">
        <v>54.08</v>
      </c>
    </row>
    <row r="563" spans="1:19" x14ac:dyDescent="0.25">
      <c r="A563">
        <v>562</v>
      </c>
      <c r="B563" s="2">
        <v>44170</v>
      </c>
      <c r="C563">
        <v>2020</v>
      </c>
      <c r="D563" t="s">
        <v>29</v>
      </c>
      <c r="E563" s="2">
        <v>44173</v>
      </c>
      <c r="F563">
        <v>3</v>
      </c>
      <c r="G563" t="s">
        <v>32</v>
      </c>
      <c r="H563" t="s">
        <v>210</v>
      </c>
      <c r="I563" t="s">
        <v>325</v>
      </c>
      <c r="J563" t="s">
        <v>327</v>
      </c>
      <c r="K563" t="s">
        <v>330</v>
      </c>
      <c r="L563" t="s">
        <v>339</v>
      </c>
      <c r="M563" t="s">
        <v>346</v>
      </c>
      <c r="N563" t="s">
        <v>352</v>
      </c>
      <c r="O563" t="s">
        <v>357</v>
      </c>
      <c r="P563" t="s">
        <v>360</v>
      </c>
      <c r="Q563">
        <v>196.02</v>
      </c>
      <c r="R563">
        <v>2</v>
      </c>
      <c r="S563">
        <v>-34.81</v>
      </c>
    </row>
    <row r="564" spans="1:19" x14ac:dyDescent="0.25">
      <c r="A564">
        <v>563</v>
      </c>
      <c r="B564" s="2">
        <v>44201</v>
      </c>
      <c r="C564">
        <v>2021</v>
      </c>
      <c r="D564" t="s">
        <v>23</v>
      </c>
      <c r="E564" s="2">
        <v>44203</v>
      </c>
      <c r="F564">
        <v>2</v>
      </c>
      <c r="G564" t="s">
        <v>34</v>
      </c>
      <c r="H564" t="s">
        <v>61</v>
      </c>
      <c r="I564" t="s">
        <v>325</v>
      </c>
      <c r="J564" t="s">
        <v>326</v>
      </c>
      <c r="K564" t="s">
        <v>329</v>
      </c>
      <c r="L564" t="s">
        <v>338</v>
      </c>
      <c r="M564" t="s">
        <v>345</v>
      </c>
      <c r="N564" t="s">
        <v>352</v>
      </c>
      <c r="O564" t="s">
        <v>358</v>
      </c>
      <c r="P564" t="s">
        <v>361</v>
      </c>
      <c r="Q564">
        <v>259.32</v>
      </c>
      <c r="R564">
        <v>8</v>
      </c>
      <c r="S564">
        <v>-51.16</v>
      </c>
    </row>
    <row r="565" spans="1:19" x14ac:dyDescent="0.25">
      <c r="A565">
        <v>564</v>
      </c>
      <c r="B565" s="2">
        <v>45894</v>
      </c>
      <c r="C565">
        <v>2025</v>
      </c>
      <c r="D565" t="s">
        <v>27</v>
      </c>
      <c r="E565" s="2">
        <v>45898</v>
      </c>
      <c r="F565">
        <v>4</v>
      </c>
      <c r="G565" t="s">
        <v>34</v>
      </c>
      <c r="H565" t="s">
        <v>165</v>
      </c>
      <c r="I565" t="s">
        <v>325</v>
      </c>
      <c r="J565" t="s">
        <v>328</v>
      </c>
      <c r="K565" t="s">
        <v>335</v>
      </c>
      <c r="L565" t="s">
        <v>335</v>
      </c>
      <c r="M565" t="s">
        <v>345</v>
      </c>
      <c r="N565" t="s">
        <v>350</v>
      </c>
      <c r="O565" t="s">
        <v>354</v>
      </c>
      <c r="P565" t="s">
        <v>359</v>
      </c>
      <c r="Q565">
        <v>221.26</v>
      </c>
      <c r="R565">
        <v>5</v>
      </c>
      <c r="S565">
        <v>96.01</v>
      </c>
    </row>
    <row r="566" spans="1:19" x14ac:dyDescent="0.25">
      <c r="A566">
        <v>565</v>
      </c>
      <c r="B566" s="2">
        <v>44012</v>
      </c>
      <c r="C566">
        <v>2020</v>
      </c>
      <c r="D566" t="s">
        <v>21</v>
      </c>
      <c r="E566" s="2">
        <v>44018</v>
      </c>
      <c r="F566">
        <v>6</v>
      </c>
      <c r="G566" t="s">
        <v>34</v>
      </c>
      <c r="H566" t="s">
        <v>178</v>
      </c>
      <c r="I566" t="s">
        <v>323</v>
      </c>
      <c r="J566" t="s">
        <v>326</v>
      </c>
      <c r="K566" t="s">
        <v>333</v>
      </c>
      <c r="L566" t="s">
        <v>342</v>
      </c>
      <c r="M566" t="s">
        <v>345</v>
      </c>
      <c r="N566" t="s">
        <v>352</v>
      </c>
      <c r="O566" t="s">
        <v>358</v>
      </c>
      <c r="P566" t="s">
        <v>360</v>
      </c>
      <c r="Q566">
        <v>265.89999999999998</v>
      </c>
      <c r="R566">
        <v>4</v>
      </c>
      <c r="S566">
        <v>-36.840000000000003</v>
      </c>
    </row>
    <row r="567" spans="1:19" x14ac:dyDescent="0.25">
      <c r="A567">
        <v>566</v>
      </c>
      <c r="B567" s="2">
        <v>43988</v>
      </c>
      <c r="C567">
        <v>2020</v>
      </c>
      <c r="D567" t="s">
        <v>21</v>
      </c>
      <c r="E567" s="2">
        <v>43991</v>
      </c>
      <c r="F567">
        <v>3</v>
      </c>
      <c r="G567" t="s">
        <v>31</v>
      </c>
      <c r="H567" t="s">
        <v>286</v>
      </c>
      <c r="I567" t="s">
        <v>324</v>
      </c>
      <c r="J567" t="s">
        <v>328</v>
      </c>
      <c r="K567" t="s">
        <v>336</v>
      </c>
      <c r="L567" t="s">
        <v>343</v>
      </c>
      <c r="M567" t="s">
        <v>347</v>
      </c>
      <c r="N567" t="s">
        <v>352</v>
      </c>
      <c r="O567" t="s">
        <v>357</v>
      </c>
      <c r="P567" t="s">
        <v>360</v>
      </c>
      <c r="Q567">
        <v>420.24</v>
      </c>
      <c r="R567">
        <v>1</v>
      </c>
      <c r="S567">
        <v>7.98</v>
      </c>
    </row>
    <row r="568" spans="1:19" x14ac:dyDescent="0.25">
      <c r="A568">
        <v>567</v>
      </c>
      <c r="B568" s="2">
        <v>44371</v>
      </c>
      <c r="C568">
        <v>2021</v>
      </c>
      <c r="D568" t="s">
        <v>21</v>
      </c>
      <c r="E568" s="2">
        <v>44372</v>
      </c>
      <c r="F568">
        <v>1</v>
      </c>
      <c r="G568" t="s">
        <v>33</v>
      </c>
      <c r="H568" t="s">
        <v>115</v>
      </c>
      <c r="I568" t="s">
        <v>325</v>
      </c>
      <c r="J568" t="s">
        <v>327</v>
      </c>
      <c r="K568" t="s">
        <v>330</v>
      </c>
      <c r="L568" t="s">
        <v>339</v>
      </c>
      <c r="M568" t="s">
        <v>346</v>
      </c>
      <c r="N568" t="s">
        <v>350</v>
      </c>
      <c r="O568" t="s">
        <v>354</v>
      </c>
      <c r="P568" t="s">
        <v>362</v>
      </c>
      <c r="Q568">
        <v>409.9</v>
      </c>
      <c r="R568">
        <v>5</v>
      </c>
      <c r="S568">
        <v>97.62</v>
      </c>
    </row>
    <row r="569" spans="1:19" x14ac:dyDescent="0.25">
      <c r="A569">
        <v>568</v>
      </c>
      <c r="B569" s="2">
        <v>45197</v>
      </c>
      <c r="C569">
        <v>2023</v>
      </c>
      <c r="D569" t="s">
        <v>25</v>
      </c>
      <c r="E569" s="2">
        <v>45205</v>
      </c>
      <c r="F569">
        <v>8</v>
      </c>
      <c r="G569" t="s">
        <v>31</v>
      </c>
      <c r="H569" t="s">
        <v>47</v>
      </c>
      <c r="I569" t="s">
        <v>323</v>
      </c>
      <c r="J569" t="s">
        <v>327</v>
      </c>
      <c r="K569" t="s">
        <v>330</v>
      </c>
      <c r="L569" t="s">
        <v>339</v>
      </c>
      <c r="M569" t="s">
        <v>346</v>
      </c>
      <c r="N569" t="s">
        <v>351</v>
      </c>
      <c r="O569" t="s">
        <v>356</v>
      </c>
      <c r="P569" t="s">
        <v>360</v>
      </c>
      <c r="Q569">
        <v>475.91</v>
      </c>
      <c r="R569">
        <v>5</v>
      </c>
      <c r="S569">
        <v>53.33</v>
      </c>
    </row>
    <row r="570" spans="1:19" x14ac:dyDescent="0.25">
      <c r="A570">
        <v>569</v>
      </c>
      <c r="B570" s="2">
        <v>46005</v>
      </c>
      <c r="C570">
        <v>2025</v>
      </c>
      <c r="D570" t="s">
        <v>29</v>
      </c>
      <c r="E570" s="2">
        <v>46013</v>
      </c>
      <c r="F570">
        <v>8</v>
      </c>
      <c r="G570" t="s">
        <v>34</v>
      </c>
      <c r="H570" t="s">
        <v>71</v>
      </c>
      <c r="I570" t="s">
        <v>324</v>
      </c>
      <c r="J570" t="s">
        <v>328</v>
      </c>
      <c r="K570" t="s">
        <v>332</v>
      </c>
      <c r="L570" t="s">
        <v>341</v>
      </c>
      <c r="M570" t="s">
        <v>348</v>
      </c>
      <c r="N570" t="s">
        <v>351</v>
      </c>
      <c r="O570" t="s">
        <v>355</v>
      </c>
      <c r="P570" t="s">
        <v>360</v>
      </c>
      <c r="Q570">
        <v>393.92</v>
      </c>
      <c r="R570">
        <v>9</v>
      </c>
      <c r="S570">
        <v>114.44</v>
      </c>
    </row>
    <row r="571" spans="1:19" x14ac:dyDescent="0.25">
      <c r="A571">
        <v>570</v>
      </c>
      <c r="B571" s="2">
        <v>44263</v>
      </c>
      <c r="C571">
        <v>2021</v>
      </c>
      <c r="D571" t="s">
        <v>24</v>
      </c>
      <c r="E571" s="2">
        <v>44265</v>
      </c>
      <c r="F571">
        <v>2</v>
      </c>
      <c r="G571" t="s">
        <v>31</v>
      </c>
      <c r="H571" t="s">
        <v>157</v>
      </c>
      <c r="I571" t="s">
        <v>324</v>
      </c>
      <c r="J571" t="s">
        <v>328</v>
      </c>
      <c r="K571" t="s">
        <v>332</v>
      </c>
      <c r="L571" t="s">
        <v>341</v>
      </c>
      <c r="M571" t="s">
        <v>348</v>
      </c>
      <c r="N571" t="s">
        <v>351</v>
      </c>
      <c r="O571" t="s">
        <v>355</v>
      </c>
      <c r="P571" t="s">
        <v>359</v>
      </c>
      <c r="Q571">
        <v>177.81</v>
      </c>
      <c r="R571">
        <v>3</v>
      </c>
      <c r="S571">
        <v>-28.7</v>
      </c>
    </row>
    <row r="572" spans="1:19" x14ac:dyDescent="0.25">
      <c r="A572">
        <v>571</v>
      </c>
      <c r="B572" s="2">
        <v>44208</v>
      </c>
      <c r="C572">
        <v>2021</v>
      </c>
      <c r="D572" t="s">
        <v>23</v>
      </c>
      <c r="E572" s="2">
        <v>44211</v>
      </c>
      <c r="F572">
        <v>3</v>
      </c>
      <c r="G572" t="s">
        <v>33</v>
      </c>
      <c r="H572" t="s">
        <v>236</v>
      </c>
      <c r="I572" t="s">
        <v>325</v>
      </c>
      <c r="J572" t="s">
        <v>327</v>
      </c>
      <c r="K572" t="s">
        <v>334</v>
      </c>
      <c r="L572" t="s">
        <v>334</v>
      </c>
      <c r="M572" t="s">
        <v>349</v>
      </c>
      <c r="N572" t="s">
        <v>352</v>
      </c>
      <c r="O572" t="s">
        <v>358</v>
      </c>
      <c r="P572" t="s">
        <v>359</v>
      </c>
      <c r="Q572">
        <v>298.07</v>
      </c>
      <c r="R572">
        <v>2</v>
      </c>
      <c r="S572">
        <v>90.49</v>
      </c>
    </row>
    <row r="573" spans="1:19" x14ac:dyDescent="0.25">
      <c r="A573">
        <v>572</v>
      </c>
      <c r="B573" s="2">
        <v>45578</v>
      </c>
      <c r="C573">
        <v>2024</v>
      </c>
      <c r="D573" t="s">
        <v>22</v>
      </c>
      <c r="E573" s="2">
        <v>45588</v>
      </c>
      <c r="F573">
        <v>10</v>
      </c>
      <c r="G573" t="s">
        <v>32</v>
      </c>
      <c r="H573" t="s">
        <v>134</v>
      </c>
      <c r="I573" t="s">
        <v>324</v>
      </c>
      <c r="J573" t="s">
        <v>328</v>
      </c>
      <c r="K573" t="s">
        <v>336</v>
      </c>
      <c r="L573" t="s">
        <v>343</v>
      </c>
      <c r="M573" t="s">
        <v>347</v>
      </c>
      <c r="N573" t="s">
        <v>351</v>
      </c>
      <c r="O573" t="s">
        <v>355</v>
      </c>
      <c r="P573" t="s">
        <v>360</v>
      </c>
      <c r="Q573">
        <v>177.05</v>
      </c>
      <c r="R573">
        <v>4</v>
      </c>
      <c r="S573">
        <v>-12.17</v>
      </c>
    </row>
    <row r="574" spans="1:19" x14ac:dyDescent="0.25">
      <c r="A574">
        <v>573</v>
      </c>
      <c r="B574" s="2">
        <v>44841</v>
      </c>
      <c r="C574">
        <v>2022</v>
      </c>
      <c r="D574" t="s">
        <v>22</v>
      </c>
      <c r="E574" s="2">
        <v>44848</v>
      </c>
      <c r="F574">
        <v>7</v>
      </c>
      <c r="G574" t="s">
        <v>34</v>
      </c>
      <c r="H574" t="s">
        <v>287</v>
      </c>
      <c r="I574" t="s">
        <v>325</v>
      </c>
      <c r="J574" t="s">
        <v>326</v>
      </c>
      <c r="K574" t="s">
        <v>331</v>
      </c>
      <c r="L574" t="s">
        <v>340</v>
      </c>
      <c r="M574" t="s">
        <v>347</v>
      </c>
      <c r="N574" t="s">
        <v>350</v>
      </c>
      <c r="O574" t="s">
        <v>354</v>
      </c>
      <c r="P574" t="s">
        <v>361</v>
      </c>
      <c r="Q574">
        <v>294.98</v>
      </c>
      <c r="R574">
        <v>2</v>
      </c>
      <c r="S574">
        <v>136.74</v>
      </c>
    </row>
    <row r="575" spans="1:19" x14ac:dyDescent="0.25">
      <c r="A575">
        <v>574</v>
      </c>
      <c r="B575" s="2">
        <v>45651</v>
      </c>
      <c r="C575">
        <v>2024</v>
      </c>
      <c r="D575" t="s">
        <v>29</v>
      </c>
      <c r="E575" s="2">
        <v>45653</v>
      </c>
      <c r="F575">
        <v>2</v>
      </c>
      <c r="G575" t="s">
        <v>33</v>
      </c>
      <c r="H575" t="s">
        <v>288</v>
      </c>
      <c r="I575" t="s">
        <v>324</v>
      </c>
      <c r="J575" t="s">
        <v>328</v>
      </c>
      <c r="K575" t="s">
        <v>335</v>
      </c>
      <c r="L575" t="s">
        <v>335</v>
      </c>
      <c r="M575" t="s">
        <v>345</v>
      </c>
      <c r="N575" t="s">
        <v>351</v>
      </c>
      <c r="O575" t="s">
        <v>356</v>
      </c>
      <c r="P575" t="s">
        <v>360</v>
      </c>
      <c r="Q575">
        <v>218.91</v>
      </c>
      <c r="R575">
        <v>8</v>
      </c>
      <c r="S575">
        <v>61.65</v>
      </c>
    </row>
    <row r="576" spans="1:19" x14ac:dyDescent="0.25">
      <c r="A576">
        <v>575</v>
      </c>
      <c r="B576" s="2">
        <v>44094</v>
      </c>
      <c r="C576">
        <v>2020</v>
      </c>
      <c r="D576" t="s">
        <v>25</v>
      </c>
      <c r="E576" s="2">
        <v>44096</v>
      </c>
      <c r="F576">
        <v>2</v>
      </c>
      <c r="G576" t="s">
        <v>32</v>
      </c>
      <c r="H576" t="s">
        <v>150</v>
      </c>
      <c r="I576" t="s">
        <v>324</v>
      </c>
      <c r="J576" t="s">
        <v>328</v>
      </c>
      <c r="K576" t="s">
        <v>336</v>
      </c>
      <c r="L576" t="s">
        <v>343</v>
      </c>
      <c r="M576" t="s">
        <v>347</v>
      </c>
      <c r="N576" t="s">
        <v>351</v>
      </c>
      <c r="O576" t="s">
        <v>355</v>
      </c>
      <c r="P576" t="s">
        <v>359</v>
      </c>
      <c r="Q576">
        <v>150.84</v>
      </c>
      <c r="R576">
        <v>2</v>
      </c>
      <c r="S576">
        <v>48.83</v>
      </c>
    </row>
    <row r="577" spans="1:19" x14ac:dyDescent="0.25">
      <c r="A577">
        <v>576</v>
      </c>
      <c r="B577" s="2">
        <v>45208</v>
      </c>
      <c r="C577">
        <v>2023</v>
      </c>
      <c r="D577" t="s">
        <v>22</v>
      </c>
      <c r="E577" s="2">
        <v>45217</v>
      </c>
      <c r="F577">
        <v>9</v>
      </c>
      <c r="G577" t="s">
        <v>33</v>
      </c>
      <c r="H577" t="s">
        <v>240</v>
      </c>
      <c r="I577" t="s">
        <v>325</v>
      </c>
      <c r="J577" t="s">
        <v>328</v>
      </c>
      <c r="K577" t="s">
        <v>332</v>
      </c>
      <c r="L577" t="s">
        <v>341</v>
      </c>
      <c r="M577" t="s">
        <v>348</v>
      </c>
      <c r="N577" t="s">
        <v>351</v>
      </c>
      <c r="O577" t="s">
        <v>356</v>
      </c>
      <c r="P577" t="s">
        <v>359</v>
      </c>
      <c r="Q577">
        <v>391.2</v>
      </c>
      <c r="R577">
        <v>2</v>
      </c>
      <c r="S577">
        <v>190.09</v>
      </c>
    </row>
    <row r="578" spans="1:19" x14ac:dyDescent="0.25">
      <c r="A578">
        <v>577</v>
      </c>
      <c r="B578" s="2">
        <v>45527</v>
      </c>
      <c r="C578">
        <v>2024</v>
      </c>
      <c r="D578" t="s">
        <v>27</v>
      </c>
      <c r="E578" s="2">
        <v>45534</v>
      </c>
      <c r="F578">
        <v>7</v>
      </c>
      <c r="G578" t="s">
        <v>33</v>
      </c>
      <c r="H578" t="s">
        <v>125</v>
      </c>
      <c r="I578" t="s">
        <v>325</v>
      </c>
      <c r="J578" t="s">
        <v>326</v>
      </c>
      <c r="K578" t="s">
        <v>329</v>
      </c>
      <c r="L578" t="s">
        <v>338</v>
      </c>
      <c r="M578" t="s">
        <v>345</v>
      </c>
      <c r="N578" t="s">
        <v>351</v>
      </c>
      <c r="O578" t="s">
        <v>355</v>
      </c>
      <c r="P578" t="s">
        <v>359</v>
      </c>
      <c r="Q578">
        <v>131.02000000000001</v>
      </c>
      <c r="R578">
        <v>7</v>
      </c>
      <c r="S578">
        <v>42.92</v>
      </c>
    </row>
    <row r="579" spans="1:19" x14ac:dyDescent="0.25">
      <c r="A579">
        <v>578</v>
      </c>
      <c r="B579" s="2">
        <v>45018</v>
      </c>
      <c r="C579">
        <v>2023</v>
      </c>
      <c r="D579" t="s">
        <v>26</v>
      </c>
      <c r="E579" s="2">
        <v>45027</v>
      </c>
      <c r="F579">
        <v>9</v>
      </c>
      <c r="G579" t="s">
        <v>31</v>
      </c>
      <c r="H579" t="s">
        <v>287</v>
      </c>
      <c r="I579" t="s">
        <v>325</v>
      </c>
      <c r="J579" t="s">
        <v>327</v>
      </c>
      <c r="K579" t="s">
        <v>334</v>
      </c>
      <c r="L579" t="s">
        <v>334</v>
      </c>
      <c r="M579" t="s">
        <v>349</v>
      </c>
      <c r="N579" t="s">
        <v>350</v>
      </c>
      <c r="O579" t="s">
        <v>354</v>
      </c>
      <c r="P579" t="s">
        <v>359</v>
      </c>
      <c r="Q579">
        <v>319.89</v>
      </c>
      <c r="R579">
        <v>9</v>
      </c>
      <c r="S579">
        <v>115.69</v>
      </c>
    </row>
    <row r="580" spans="1:19" x14ac:dyDescent="0.25">
      <c r="A580">
        <v>579</v>
      </c>
      <c r="B580" s="2">
        <v>44607</v>
      </c>
      <c r="C580">
        <v>2022</v>
      </c>
      <c r="D580" t="s">
        <v>28</v>
      </c>
      <c r="E580" s="2">
        <v>44614</v>
      </c>
      <c r="F580">
        <v>7</v>
      </c>
      <c r="G580" t="s">
        <v>34</v>
      </c>
      <c r="H580" t="s">
        <v>179</v>
      </c>
      <c r="I580" t="s">
        <v>323</v>
      </c>
      <c r="J580" t="s">
        <v>326</v>
      </c>
      <c r="K580" t="s">
        <v>329</v>
      </c>
      <c r="L580" t="s">
        <v>338</v>
      </c>
      <c r="M580" t="s">
        <v>345</v>
      </c>
      <c r="N580" t="s">
        <v>352</v>
      </c>
      <c r="O580" t="s">
        <v>357</v>
      </c>
      <c r="P580" t="s">
        <v>359</v>
      </c>
      <c r="Q580">
        <v>403.69</v>
      </c>
      <c r="R580">
        <v>2</v>
      </c>
      <c r="S580">
        <v>107.81</v>
      </c>
    </row>
    <row r="581" spans="1:19" x14ac:dyDescent="0.25">
      <c r="A581">
        <v>580</v>
      </c>
      <c r="B581" s="2">
        <v>45867</v>
      </c>
      <c r="C581">
        <v>2025</v>
      </c>
      <c r="D581" t="s">
        <v>20</v>
      </c>
      <c r="E581" s="2">
        <v>45873</v>
      </c>
      <c r="F581">
        <v>6</v>
      </c>
      <c r="G581" t="s">
        <v>34</v>
      </c>
      <c r="H581" t="s">
        <v>180</v>
      </c>
      <c r="I581" t="s">
        <v>325</v>
      </c>
      <c r="J581" t="s">
        <v>327</v>
      </c>
      <c r="K581" t="s">
        <v>334</v>
      </c>
      <c r="L581" t="s">
        <v>334</v>
      </c>
      <c r="M581" t="s">
        <v>349</v>
      </c>
      <c r="N581" t="s">
        <v>350</v>
      </c>
      <c r="O581" t="s">
        <v>353</v>
      </c>
      <c r="P581" t="s">
        <v>360</v>
      </c>
      <c r="Q581">
        <v>176.91</v>
      </c>
      <c r="R581">
        <v>7</v>
      </c>
      <c r="S581">
        <v>-43.8</v>
      </c>
    </row>
    <row r="582" spans="1:19" x14ac:dyDescent="0.25">
      <c r="A582">
        <v>581</v>
      </c>
      <c r="B582" s="2">
        <v>44008</v>
      </c>
      <c r="C582">
        <v>2020</v>
      </c>
      <c r="D582" t="s">
        <v>21</v>
      </c>
      <c r="E582" s="2">
        <v>44018</v>
      </c>
      <c r="F582">
        <v>10</v>
      </c>
      <c r="G582" t="s">
        <v>32</v>
      </c>
      <c r="H582" t="s">
        <v>82</v>
      </c>
      <c r="I582" t="s">
        <v>324</v>
      </c>
      <c r="J582" t="s">
        <v>326</v>
      </c>
      <c r="K582" t="s">
        <v>329</v>
      </c>
      <c r="L582" t="s">
        <v>338</v>
      </c>
      <c r="M582" t="s">
        <v>345</v>
      </c>
      <c r="N582" t="s">
        <v>350</v>
      </c>
      <c r="O582" t="s">
        <v>354</v>
      </c>
      <c r="P582" t="s">
        <v>360</v>
      </c>
      <c r="Q582">
        <v>51.5</v>
      </c>
      <c r="R582">
        <v>9</v>
      </c>
      <c r="S582">
        <v>13.05</v>
      </c>
    </row>
    <row r="583" spans="1:19" x14ac:dyDescent="0.25">
      <c r="A583">
        <v>582</v>
      </c>
      <c r="B583" s="2">
        <v>45031</v>
      </c>
      <c r="C583">
        <v>2023</v>
      </c>
      <c r="D583" t="s">
        <v>26</v>
      </c>
      <c r="E583" s="2">
        <v>45039</v>
      </c>
      <c r="F583">
        <v>8</v>
      </c>
      <c r="G583" t="s">
        <v>33</v>
      </c>
      <c r="H583" t="s">
        <v>219</v>
      </c>
      <c r="I583" t="s">
        <v>324</v>
      </c>
      <c r="J583" t="s">
        <v>327</v>
      </c>
      <c r="K583" t="s">
        <v>330</v>
      </c>
      <c r="L583" t="s">
        <v>339</v>
      </c>
      <c r="M583" t="s">
        <v>346</v>
      </c>
      <c r="N583" t="s">
        <v>351</v>
      </c>
      <c r="O583" t="s">
        <v>356</v>
      </c>
      <c r="P583" t="s">
        <v>362</v>
      </c>
      <c r="Q583">
        <v>109.09</v>
      </c>
      <c r="R583">
        <v>9</v>
      </c>
      <c r="S583">
        <v>39.880000000000003</v>
      </c>
    </row>
    <row r="584" spans="1:19" x14ac:dyDescent="0.25">
      <c r="A584">
        <v>583</v>
      </c>
      <c r="B584" s="2">
        <v>44458</v>
      </c>
      <c r="C584">
        <v>2021</v>
      </c>
      <c r="D584" t="s">
        <v>25</v>
      </c>
      <c r="E584" s="2">
        <v>44466</v>
      </c>
      <c r="F584">
        <v>8</v>
      </c>
      <c r="G584" t="s">
        <v>33</v>
      </c>
      <c r="H584" t="s">
        <v>67</v>
      </c>
      <c r="I584" t="s">
        <v>323</v>
      </c>
      <c r="J584" t="s">
        <v>328</v>
      </c>
      <c r="K584" t="s">
        <v>332</v>
      </c>
      <c r="L584" t="s">
        <v>341</v>
      </c>
      <c r="M584" t="s">
        <v>348</v>
      </c>
      <c r="N584" t="s">
        <v>352</v>
      </c>
      <c r="O584" t="s">
        <v>357</v>
      </c>
      <c r="P584" t="s">
        <v>359</v>
      </c>
      <c r="Q584">
        <v>414.84</v>
      </c>
      <c r="R584">
        <v>8</v>
      </c>
      <c r="S584">
        <v>48.62</v>
      </c>
    </row>
    <row r="585" spans="1:19" x14ac:dyDescent="0.25">
      <c r="A585">
        <v>584</v>
      </c>
      <c r="B585" s="2">
        <v>43902</v>
      </c>
      <c r="C585">
        <v>2020</v>
      </c>
      <c r="D585" t="s">
        <v>24</v>
      </c>
      <c r="E585" s="2">
        <v>43904</v>
      </c>
      <c r="F585">
        <v>2</v>
      </c>
      <c r="G585" t="s">
        <v>33</v>
      </c>
      <c r="H585" t="s">
        <v>209</v>
      </c>
      <c r="I585" t="s">
        <v>323</v>
      </c>
      <c r="J585" t="s">
        <v>327</v>
      </c>
      <c r="K585" t="s">
        <v>334</v>
      </c>
      <c r="L585" t="s">
        <v>334</v>
      </c>
      <c r="M585" t="s">
        <v>349</v>
      </c>
      <c r="N585" t="s">
        <v>352</v>
      </c>
      <c r="O585" t="s">
        <v>358</v>
      </c>
      <c r="P585" t="s">
        <v>359</v>
      </c>
      <c r="Q585">
        <v>224.19</v>
      </c>
      <c r="R585">
        <v>2</v>
      </c>
      <c r="S585">
        <v>21.01</v>
      </c>
    </row>
    <row r="586" spans="1:19" x14ac:dyDescent="0.25">
      <c r="A586">
        <v>585</v>
      </c>
      <c r="B586" s="2">
        <v>43914</v>
      </c>
      <c r="C586">
        <v>2020</v>
      </c>
      <c r="D586" t="s">
        <v>24</v>
      </c>
      <c r="E586" s="2">
        <v>43915</v>
      </c>
      <c r="F586">
        <v>1</v>
      </c>
      <c r="G586" t="s">
        <v>33</v>
      </c>
      <c r="H586" t="s">
        <v>202</v>
      </c>
      <c r="I586" t="s">
        <v>324</v>
      </c>
      <c r="J586" t="s">
        <v>327</v>
      </c>
      <c r="K586" t="s">
        <v>334</v>
      </c>
      <c r="L586" t="s">
        <v>334</v>
      </c>
      <c r="M586" t="s">
        <v>349</v>
      </c>
      <c r="N586" t="s">
        <v>351</v>
      </c>
      <c r="O586" t="s">
        <v>356</v>
      </c>
      <c r="P586" t="s">
        <v>359</v>
      </c>
      <c r="Q586">
        <v>391.16</v>
      </c>
      <c r="R586">
        <v>4</v>
      </c>
      <c r="S586">
        <v>188.68</v>
      </c>
    </row>
    <row r="587" spans="1:19" x14ac:dyDescent="0.25">
      <c r="A587">
        <v>586</v>
      </c>
      <c r="B587" s="2">
        <v>44240</v>
      </c>
      <c r="C587">
        <v>2021</v>
      </c>
      <c r="D587" t="s">
        <v>28</v>
      </c>
      <c r="E587" s="2">
        <v>44242</v>
      </c>
      <c r="F587">
        <v>2</v>
      </c>
      <c r="G587" t="s">
        <v>31</v>
      </c>
      <c r="H587" t="s">
        <v>124</v>
      </c>
      <c r="I587" t="s">
        <v>324</v>
      </c>
      <c r="J587" t="s">
        <v>326</v>
      </c>
      <c r="K587" t="s">
        <v>331</v>
      </c>
      <c r="L587" t="s">
        <v>340</v>
      </c>
      <c r="M587" t="s">
        <v>347</v>
      </c>
      <c r="N587" t="s">
        <v>350</v>
      </c>
      <c r="O587" t="s">
        <v>354</v>
      </c>
      <c r="P587" t="s">
        <v>360</v>
      </c>
      <c r="Q587">
        <v>134.66</v>
      </c>
      <c r="R587">
        <v>5</v>
      </c>
      <c r="S587">
        <v>-36.46</v>
      </c>
    </row>
    <row r="588" spans="1:19" x14ac:dyDescent="0.25">
      <c r="A588">
        <v>587</v>
      </c>
      <c r="B588" s="2">
        <v>44663</v>
      </c>
      <c r="C588">
        <v>2022</v>
      </c>
      <c r="D588" t="s">
        <v>26</v>
      </c>
      <c r="E588" s="2">
        <v>44664</v>
      </c>
      <c r="F588">
        <v>1</v>
      </c>
      <c r="G588" t="s">
        <v>31</v>
      </c>
      <c r="H588" t="s">
        <v>289</v>
      </c>
      <c r="I588" t="s">
        <v>324</v>
      </c>
      <c r="J588" t="s">
        <v>326</v>
      </c>
      <c r="K588" t="s">
        <v>333</v>
      </c>
      <c r="L588" t="s">
        <v>342</v>
      </c>
      <c r="M588" t="s">
        <v>345</v>
      </c>
      <c r="N588" t="s">
        <v>352</v>
      </c>
      <c r="O588" t="s">
        <v>357</v>
      </c>
      <c r="P588" t="s">
        <v>361</v>
      </c>
      <c r="Q588">
        <v>430.94</v>
      </c>
      <c r="R588">
        <v>2</v>
      </c>
      <c r="S588">
        <v>-94.96</v>
      </c>
    </row>
    <row r="589" spans="1:19" x14ac:dyDescent="0.25">
      <c r="A589">
        <v>588</v>
      </c>
      <c r="B589" s="2">
        <v>45705</v>
      </c>
      <c r="C589">
        <v>2025</v>
      </c>
      <c r="D589" t="s">
        <v>28</v>
      </c>
      <c r="E589" s="2">
        <v>45709</v>
      </c>
      <c r="F589">
        <v>4</v>
      </c>
      <c r="G589" t="s">
        <v>34</v>
      </c>
      <c r="H589" t="s">
        <v>261</v>
      </c>
      <c r="I589" t="s">
        <v>324</v>
      </c>
      <c r="J589" t="s">
        <v>326</v>
      </c>
      <c r="K589" t="s">
        <v>331</v>
      </c>
      <c r="L589" t="s">
        <v>340</v>
      </c>
      <c r="M589" t="s">
        <v>347</v>
      </c>
      <c r="N589" t="s">
        <v>350</v>
      </c>
      <c r="O589" t="s">
        <v>354</v>
      </c>
      <c r="P589" t="s">
        <v>361</v>
      </c>
      <c r="Q589">
        <v>288.45</v>
      </c>
      <c r="R589">
        <v>5</v>
      </c>
      <c r="S589">
        <v>-38.03</v>
      </c>
    </row>
    <row r="590" spans="1:19" x14ac:dyDescent="0.25">
      <c r="A590">
        <v>589</v>
      </c>
      <c r="B590" s="2">
        <v>44464</v>
      </c>
      <c r="C590">
        <v>2021</v>
      </c>
      <c r="D590" t="s">
        <v>25</v>
      </c>
      <c r="E590" s="2">
        <v>44472</v>
      </c>
      <c r="F590">
        <v>8</v>
      </c>
      <c r="G590" t="s">
        <v>31</v>
      </c>
      <c r="H590" t="s">
        <v>158</v>
      </c>
      <c r="I590" t="s">
        <v>324</v>
      </c>
      <c r="J590" t="s">
        <v>326</v>
      </c>
      <c r="K590" t="s">
        <v>331</v>
      </c>
      <c r="L590" t="s">
        <v>340</v>
      </c>
      <c r="M590" t="s">
        <v>347</v>
      </c>
      <c r="N590" t="s">
        <v>351</v>
      </c>
      <c r="O590" t="s">
        <v>355</v>
      </c>
      <c r="P590" t="s">
        <v>359</v>
      </c>
      <c r="Q590">
        <v>69.87</v>
      </c>
      <c r="R590">
        <v>9</v>
      </c>
      <c r="S590">
        <v>27.66</v>
      </c>
    </row>
    <row r="591" spans="1:19" x14ac:dyDescent="0.25">
      <c r="A591">
        <v>590</v>
      </c>
      <c r="B591" s="2">
        <v>43997</v>
      </c>
      <c r="C591">
        <v>2020</v>
      </c>
      <c r="D591" t="s">
        <v>21</v>
      </c>
      <c r="E591" s="2">
        <v>44005</v>
      </c>
      <c r="F591">
        <v>8</v>
      </c>
      <c r="G591" t="s">
        <v>33</v>
      </c>
      <c r="H591" t="s">
        <v>52</v>
      </c>
      <c r="I591" t="s">
        <v>323</v>
      </c>
      <c r="J591" t="s">
        <v>327</v>
      </c>
      <c r="K591" t="s">
        <v>330</v>
      </c>
      <c r="L591" t="s">
        <v>339</v>
      </c>
      <c r="M591" t="s">
        <v>346</v>
      </c>
      <c r="N591" t="s">
        <v>352</v>
      </c>
      <c r="O591" t="s">
        <v>357</v>
      </c>
      <c r="P591" t="s">
        <v>360</v>
      </c>
      <c r="Q591">
        <v>193</v>
      </c>
      <c r="R591">
        <v>3</v>
      </c>
      <c r="S591">
        <v>39.71</v>
      </c>
    </row>
    <row r="592" spans="1:19" x14ac:dyDescent="0.25">
      <c r="A592">
        <v>591</v>
      </c>
      <c r="B592" s="2">
        <v>44437</v>
      </c>
      <c r="C592">
        <v>2021</v>
      </c>
      <c r="D592" t="s">
        <v>27</v>
      </c>
      <c r="E592" s="2">
        <v>44438</v>
      </c>
      <c r="F592">
        <v>1</v>
      </c>
      <c r="G592" t="s">
        <v>33</v>
      </c>
      <c r="H592" t="s">
        <v>41</v>
      </c>
      <c r="I592" t="s">
        <v>325</v>
      </c>
      <c r="J592" t="s">
        <v>328</v>
      </c>
      <c r="K592" t="s">
        <v>332</v>
      </c>
      <c r="L592" t="s">
        <v>341</v>
      </c>
      <c r="M592" t="s">
        <v>348</v>
      </c>
      <c r="N592" t="s">
        <v>352</v>
      </c>
      <c r="O592" t="s">
        <v>358</v>
      </c>
      <c r="P592" t="s">
        <v>359</v>
      </c>
      <c r="Q592">
        <v>107.69</v>
      </c>
      <c r="R592">
        <v>3</v>
      </c>
      <c r="S592">
        <v>33.130000000000003</v>
      </c>
    </row>
    <row r="593" spans="1:19" x14ac:dyDescent="0.25">
      <c r="A593">
        <v>592</v>
      </c>
      <c r="B593" s="2">
        <v>45806</v>
      </c>
      <c r="C593">
        <v>2025</v>
      </c>
      <c r="D593" t="s">
        <v>19</v>
      </c>
      <c r="E593" s="2">
        <v>45811</v>
      </c>
      <c r="F593">
        <v>5</v>
      </c>
      <c r="G593" t="s">
        <v>31</v>
      </c>
      <c r="H593" t="s">
        <v>118</v>
      </c>
      <c r="I593" t="s">
        <v>324</v>
      </c>
      <c r="J593" t="s">
        <v>326</v>
      </c>
      <c r="K593" t="s">
        <v>329</v>
      </c>
      <c r="L593" t="s">
        <v>338</v>
      </c>
      <c r="M593" t="s">
        <v>345</v>
      </c>
      <c r="N593" t="s">
        <v>352</v>
      </c>
      <c r="O593" t="s">
        <v>357</v>
      </c>
      <c r="P593" t="s">
        <v>359</v>
      </c>
      <c r="Q593">
        <v>228.45</v>
      </c>
      <c r="R593">
        <v>8</v>
      </c>
      <c r="S593">
        <v>97.68</v>
      </c>
    </row>
    <row r="594" spans="1:19" x14ac:dyDescent="0.25">
      <c r="A594">
        <v>593</v>
      </c>
      <c r="B594" s="2">
        <v>45942</v>
      </c>
      <c r="C594">
        <v>2025</v>
      </c>
      <c r="D594" t="s">
        <v>22</v>
      </c>
      <c r="E594" s="2">
        <v>45945</v>
      </c>
      <c r="F594">
        <v>3</v>
      </c>
      <c r="G594" t="s">
        <v>31</v>
      </c>
      <c r="H594" t="s">
        <v>60</v>
      </c>
      <c r="I594" t="s">
        <v>325</v>
      </c>
      <c r="J594" t="s">
        <v>328</v>
      </c>
      <c r="K594" t="s">
        <v>336</v>
      </c>
      <c r="L594" t="s">
        <v>343</v>
      </c>
      <c r="M594" t="s">
        <v>347</v>
      </c>
      <c r="N594" t="s">
        <v>351</v>
      </c>
      <c r="O594" t="s">
        <v>356</v>
      </c>
      <c r="P594" t="s">
        <v>362</v>
      </c>
      <c r="Q594">
        <v>417.13</v>
      </c>
      <c r="R594">
        <v>2</v>
      </c>
      <c r="S594">
        <v>32.04</v>
      </c>
    </row>
    <row r="595" spans="1:19" x14ac:dyDescent="0.25">
      <c r="A595">
        <v>594</v>
      </c>
      <c r="B595" s="2">
        <v>44533</v>
      </c>
      <c r="C595">
        <v>2021</v>
      </c>
      <c r="D595" t="s">
        <v>29</v>
      </c>
      <c r="E595" s="2">
        <v>44539</v>
      </c>
      <c r="F595">
        <v>6</v>
      </c>
      <c r="G595" t="s">
        <v>32</v>
      </c>
      <c r="H595" t="s">
        <v>169</v>
      </c>
      <c r="I595" t="s">
        <v>323</v>
      </c>
      <c r="J595" t="s">
        <v>326</v>
      </c>
      <c r="K595" t="s">
        <v>333</v>
      </c>
      <c r="L595" t="s">
        <v>342</v>
      </c>
      <c r="M595" t="s">
        <v>345</v>
      </c>
      <c r="N595" t="s">
        <v>350</v>
      </c>
      <c r="O595" t="s">
        <v>354</v>
      </c>
      <c r="P595" t="s">
        <v>360</v>
      </c>
      <c r="Q595">
        <v>99.55</v>
      </c>
      <c r="R595">
        <v>9</v>
      </c>
      <c r="S595">
        <v>35.31</v>
      </c>
    </row>
    <row r="596" spans="1:19" x14ac:dyDescent="0.25">
      <c r="A596">
        <v>595</v>
      </c>
      <c r="B596" s="2">
        <v>45784</v>
      </c>
      <c r="C596">
        <v>2025</v>
      </c>
      <c r="D596" t="s">
        <v>19</v>
      </c>
      <c r="E596" s="2">
        <v>45793</v>
      </c>
      <c r="F596">
        <v>9</v>
      </c>
      <c r="G596" t="s">
        <v>31</v>
      </c>
      <c r="H596" t="s">
        <v>55</v>
      </c>
      <c r="I596" t="s">
        <v>323</v>
      </c>
      <c r="J596" t="s">
        <v>328</v>
      </c>
      <c r="K596" t="s">
        <v>332</v>
      </c>
      <c r="L596" t="s">
        <v>341</v>
      </c>
      <c r="M596" t="s">
        <v>348</v>
      </c>
      <c r="N596" t="s">
        <v>350</v>
      </c>
      <c r="O596" t="s">
        <v>354</v>
      </c>
      <c r="P596" t="s">
        <v>361</v>
      </c>
      <c r="Q596">
        <v>226.11</v>
      </c>
      <c r="R596">
        <v>7</v>
      </c>
      <c r="S596">
        <v>108.89</v>
      </c>
    </row>
    <row r="597" spans="1:19" x14ac:dyDescent="0.25">
      <c r="A597">
        <v>596</v>
      </c>
      <c r="B597" s="2">
        <v>45562</v>
      </c>
      <c r="C597">
        <v>2024</v>
      </c>
      <c r="D597" t="s">
        <v>25</v>
      </c>
      <c r="E597" s="2">
        <v>45569</v>
      </c>
      <c r="F597">
        <v>7</v>
      </c>
      <c r="G597" t="s">
        <v>31</v>
      </c>
      <c r="H597" t="s">
        <v>147</v>
      </c>
      <c r="I597" t="s">
        <v>325</v>
      </c>
      <c r="J597" t="s">
        <v>326</v>
      </c>
      <c r="K597" t="s">
        <v>329</v>
      </c>
      <c r="L597" t="s">
        <v>338</v>
      </c>
      <c r="M597" t="s">
        <v>345</v>
      </c>
      <c r="N597" t="s">
        <v>351</v>
      </c>
      <c r="O597" t="s">
        <v>356</v>
      </c>
      <c r="P597" t="s">
        <v>361</v>
      </c>
      <c r="Q597">
        <v>342.87</v>
      </c>
      <c r="R597">
        <v>4</v>
      </c>
      <c r="S597">
        <v>154.80000000000001</v>
      </c>
    </row>
    <row r="598" spans="1:19" x14ac:dyDescent="0.25">
      <c r="A598">
        <v>597</v>
      </c>
      <c r="B598" s="2">
        <v>44810</v>
      </c>
      <c r="C598">
        <v>2022</v>
      </c>
      <c r="D598" t="s">
        <v>25</v>
      </c>
      <c r="E598" s="2">
        <v>44816</v>
      </c>
      <c r="F598">
        <v>6</v>
      </c>
      <c r="G598" t="s">
        <v>33</v>
      </c>
      <c r="H598" t="s">
        <v>86</v>
      </c>
      <c r="I598" t="s">
        <v>323</v>
      </c>
      <c r="J598" t="s">
        <v>328</v>
      </c>
      <c r="K598" t="s">
        <v>335</v>
      </c>
      <c r="L598" t="s">
        <v>335</v>
      </c>
      <c r="M598" t="s">
        <v>345</v>
      </c>
      <c r="N598" t="s">
        <v>350</v>
      </c>
      <c r="O598" t="s">
        <v>353</v>
      </c>
      <c r="P598" t="s">
        <v>362</v>
      </c>
      <c r="Q598">
        <v>131.46</v>
      </c>
      <c r="R598">
        <v>10</v>
      </c>
      <c r="S598">
        <v>50.35</v>
      </c>
    </row>
    <row r="599" spans="1:19" x14ac:dyDescent="0.25">
      <c r="A599">
        <v>598</v>
      </c>
      <c r="B599" s="2">
        <v>44103</v>
      </c>
      <c r="C599">
        <v>2020</v>
      </c>
      <c r="D599" t="s">
        <v>25</v>
      </c>
      <c r="E599" s="2">
        <v>44106</v>
      </c>
      <c r="F599">
        <v>3</v>
      </c>
      <c r="G599" t="s">
        <v>31</v>
      </c>
      <c r="H599" t="s">
        <v>129</v>
      </c>
      <c r="I599" t="s">
        <v>324</v>
      </c>
      <c r="J599" t="s">
        <v>327</v>
      </c>
      <c r="K599" t="s">
        <v>337</v>
      </c>
      <c r="L599" t="s">
        <v>344</v>
      </c>
      <c r="M599" t="s">
        <v>347</v>
      </c>
      <c r="N599" t="s">
        <v>350</v>
      </c>
      <c r="O599" t="s">
        <v>354</v>
      </c>
      <c r="P599" t="s">
        <v>361</v>
      </c>
      <c r="Q599">
        <v>246.08</v>
      </c>
      <c r="R599">
        <v>10</v>
      </c>
      <c r="S599">
        <v>117.73</v>
      </c>
    </row>
    <row r="600" spans="1:19" x14ac:dyDescent="0.25">
      <c r="A600">
        <v>599</v>
      </c>
      <c r="B600" s="2">
        <v>44323</v>
      </c>
      <c r="C600">
        <v>2021</v>
      </c>
      <c r="D600" t="s">
        <v>19</v>
      </c>
      <c r="E600" s="2">
        <v>44333</v>
      </c>
      <c r="F600">
        <v>10</v>
      </c>
      <c r="G600" t="s">
        <v>33</v>
      </c>
      <c r="H600" t="s">
        <v>145</v>
      </c>
      <c r="I600" t="s">
        <v>323</v>
      </c>
      <c r="J600" t="s">
        <v>326</v>
      </c>
      <c r="K600" t="s">
        <v>333</v>
      </c>
      <c r="L600" t="s">
        <v>342</v>
      </c>
      <c r="M600" t="s">
        <v>345</v>
      </c>
      <c r="N600" t="s">
        <v>350</v>
      </c>
      <c r="O600" t="s">
        <v>354</v>
      </c>
      <c r="P600" t="s">
        <v>361</v>
      </c>
      <c r="Q600">
        <v>232.7</v>
      </c>
      <c r="R600">
        <v>5</v>
      </c>
      <c r="S600">
        <v>-32.97</v>
      </c>
    </row>
    <row r="601" spans="1:19" x14ac:dyDescent="0.25">
      <c r="A601">
        <v>600</v>
      </c>
      <c r="B601" s="2">
        <v>45893</v>
      </c>
      <c r="C601">
        <v>2025</v>
      </c>
      <c r="D601" t="s">
        <v>27</v>
      </c>
      <c r="E601" s="2">
        <v>45895</v>
      </c>
      <c r="F601">
        <v>2</v>
      </c>
      <c r="G601" t="s">
        <v>31</v>
      </c>
      <c r="H601" t="s">
        <v>77</v>
      </c>
      <c r="I601" t="s">
        <v>325</v>
      </c>
      <c r="J601" t="s">
        <v>328</v>
      </c>
      <c r="K601" t="s">
        <v>332</v>
      </c>
      <c r="L601" t="s">
        <v>341</v>
      </c>
      <c r="M601" t="s">
        <v>348</v>
      </c>
      <c r="N601" t="s">
        <v>350</v>
      </c>
      <c r="O601" t="s">
        <v>354</v>
      </c>
      <c r="P601" t="s">
        <v>361</v>
      </c>
      <c r="Q601">
        <v>73.28</v>
      </c>
      <c r="R601">
        <v>1</v>
      </c>
      <c r="S601">
        <v>-8.24</v>
      </c>
    </row>
    <row r="602" spans="1:19" x14ac:dyDescent="0.25">
      <c r="A602">
        <v>601</v>
      </c>
      <c r="B602" s="2">
        <v>44894</v>
      </c>
      <c r="C602">
        <v>2022</v>
      </c>
      <c r="D602" t="s">
        <v>30</v>
      </c>
      <c r="E602" s="2">
        <v>44899</v>
      </c>
      <c r="F602">
        <v>5</v>
      </c>
      <c r="G602" t="s">
        <v>33</v>
      </c>
      <c r="H602" t="s">
        <v>161</v>
      </c>
      <c r="I602" t="s">
        <v>325</v>
      </c>
      <c r="J602" t="s">
        <v>326</v>
      </c>
      <c r="K602" t="s">
        <v>333</v>
      </c>
      <c r="L602" t="s">
        <v>342</v>
      </c>
      <c r="M602" t="s">
        <v>345</v>
      </c>
      <c r="N602" t="s">
        <v>350</v>
      </c>
      <c r="O602" t="s">
        <v>353</v>
      </c>
      <c r="P602" t="s">
        <v>360</v>
      </c>
      <c r="Q602">
        <v>296.81</v>
      </c>
      <c r="R602">
        <v>8</v>
      </c>
      <c r="S602">
        <v>118.1</v>
      </c>
    </row>
    <row r="603" spans="1:19" x14ac:dyDescent="0.25">
      <c r="A603">
        <v>602</v>
      </c>
      <c r="B603" s="2">
        <v>45869</v>
      </c>
      <c r="C603">
        <v>2025</v>
      </c>
      <c r="D603" t="s">
        <v>20</v>
      </c>
      <c r="E603" s="2">
        <v>45874</v>
      </c>
      <c r="F603">
        <v>5</v>
      </c>
      <c r="G603" t="s">
        <v>32</v>
      </c>
      <c r="H603" t="s">
        <v>274</v>
      </c>
      <c r="I603" t="s">
        <v>324</v>
      </c>
      <c r="J603" t="s">
        <v>328</v>
      </c>
      <c r="K603" t="s">
        <v>332</v>
      </c>
      <c r="L603" t="s">
        <v>341</v>
      </c>
      <c r="M603" t="s">
        <v>348</v>
      </c>
      <c r="N603" t="s">
        <v>352</v>
      </c>
      <c r="O603" t="s">
        <v>358</v>
      </c>
      <c r="P603" t="s">
        <v>360</v>
      </c>
      <c r="Q603">
        <v>75.180000000000007</v>
      </c>
      <c r="R603">
        <v>2</v>
      </c>
      <c r="S603">
        <v>8.5399999999999991</v>
      </c>
    </row>
    <row r="604" spans="1:19" x14ac:dyDescent="0.25">
      <c r="A604">
        <v>603</v>
      </c>
      <c r="B604" s="2">
        <v>45693</v>
      </c>
      <c r="C604">
        <v>2025</v>
      </c>
      <c r="D604" t="s">
        <v>28</v>
      </c>
      <c r="E604" s="2">
        <v>45701</v>
      </c>
      <c r="F604">
        <v>8</v>
      </c>
      <c r="G604" t="s">
        <v>31</v>
      </c>
      <c r="H604" t="s">
        <v>41</v>
      </c>
      <c r="I604" t="s">
        <v>324</v>
      </c>
      <c r="J604" t="s">
        <v>328</v>
      </c>
      <c r="K604" t="s">
        <v>335</v>
      </c>
      <c r="L604" t="s">
        <v>335</v>
      </c>
      <c r="M604" t="s">
        <v>345</v>
      </c>
      <c r="N604" t="s">
        <v>351</v>
      </c>
      <c r="O604" t="s">
        <v>355</v>
      </c>
      <c r="P604" t="s">
        <v>359</v>
      </c>
      <c r="Q604">
        <v>261.99</v>
      </c>
      <c r="R604">
        <v>4</v>
      </c>
      <c r="S604">
        <v>31.91</v>
      </c>
    </row>
    <row r="605" spans="1:19" x14ac:dyDescent="0.25">
      <c r="A605">
        <v>604</v>
      </c>
      <c r="B605" s="2">
        <v>44061</v>
      </c>
      <c r="C605">
        <v>2020</v>
      </c>
      <c r="D605" t="s">
        <v>27</v>
      </c>
      <c r="E605" s="2">
        <v>44066</v>
      </c>
      <c r="F605">
        <v>5</v>
      </c>
      <c r="G605" t="s">
        <v>34</v>
      </c>
      <c r="H605" t="s">
        <v>204</v>
      </c>
      <c r="I605" t="s">
        <v>325</v>
      </c>
      <c r="J605" t="s">
        <v>326</v>
      </c>
      <c r="K605" t="s">
        <v>333</v>
      </c>
      <c r="L605" t="s">
        <v>342</v>
      </c>
      <c r="M605" t="s">
        <v>345</v>
      </c>
      <c r="N605" t="s">
        <v>352</v>
      </c>
      <c r="O605" t="s">
        <v>358</v>
      </c>
      <c r="P605" t="s">
        <v>360</v>
      </c>
      <c r="Q605">
        <v>53.45</v>
      </c>
      <c r="R605">
        <v>3</v>
      </c>
      <c r="S605">
        <v>-6.59</v>
      </c>
    </row>
    <row r="606" spans="1:19" x14ac:dyDescent="0.25">
      <c r="A606">
        <v>605</v>
      </c>
      <c r="B606" s="2">
        <v>44013</v>
      </c>
      <c r="C606">
        <v>2020</v>
      </c>
      <c r="D606" t="s">
        <v>20</v>
      </c>
      <c r="E606" s="2">
        <v>44017</v>
      </c>
      <c r="F606">
        <v>4</v>
      </c>
      <c r="G606" t="s">
        <v>33</v>
      </c>
      <c r="H606" t="s">
        <v>290</v>
      </c>
      <c r="I606" t="s">
        <v>325</v>
      </c>
      <c r="J606" t="s">
        <v>328</v>
      </c>
      <c r="K606" t="s">
        <v>332</v>
      </c>
      <c r="L606" t="s">
        <v>341</v>
      </c>
      <c r="M606" t="s">
        <v>348</v>
      </c>
      <c r="N606" t="s">
        <v>351</v>
      </c>
      <c r="O606" t="s">
        <v>356</v>
      </c>
      <c r="P606" t="s">
        <v>359</v>
      </c>
      <c r="Q606">
        <v>47.29</v>
      </c>
      <c r="R606">
        <v>1</v>
      </c>
      <c r="S606">
        <v>7.67</v>
      </c>
    </row>
    <row r="607" spans="1:19" x14ac:dyDescent="0.25">
      <c r="A607">
        <v>606</v>
      </c>
      <c r="B607" s="2">
        <v>45033</v>
      </c>
      <c r="C607">
        <v>2023</v>
      </c>
      <c r="D607" t="s">
        <v>26</v>
      </c>
      <c r="E607" s="2">
        <v>45040</v>
      </c>
      <c r="F607">
        <v>7</v>
      </c>
      <c r="G607" t="s">
        <v>34</v>
      </c>
      <c r="H607" t="s">
        <v>155</v>
      </c>
      <c r="I607" t="s">
        <v>323</v>
      </c>
      <c r="J607" t="s">
        <v>327</v>
      </c>
      <c r="K607" t="s">
        <v>334</v>
      </c>
      <c r="L607" t="s">
        <v>334</v>
      </c>
      <c r="M607" t="s">
        <v>349</v>
      </c>
      <c r="N607" t="s">
        <v>350</v>
      </c>
      <c r="O607" t="s">
        <v>353</v>
      </c>
      <c r="P607" t="s">
        <v>359</v>
      </c>
      <c r="Q607">
        <v>283.13</v>
      </c>
      <c r="R607">
        <v>1</v>
      </c>
      <c r="S607">
        <v>88.72</v>
      </c>
    </row>
    <row r="608" spans="1:19" x14ac:dyDescent="0.25">
      <c r="A608">
        <v>607</v>
      </c>
      <c r="B608" s="2">
        <v>45153</v>
      </c>
      <c r="C608">
        <v>2023</v>
      </c>
      <c r="D608" t="s">
        <v>27</v>
      </c>
      <c r="E608" s="2">
        <v>45161</v>
      </c>
      <c r="F608">
        <v>8</v>
      </c>
      <c r="G608" t="s">
        <v>34</v>
      </c>
      <c r="H608" t="s">
        <v>74</v>
      </c>
      <c r="I608" t="s">
        <v>324</v>
      </c>
      <c r="J608" t="s">
        <v>328</v>
      </c>
      <c r="K608" t="s">
        <v>336</v>
      </c>
      <c r="L608" t="s">
        <v>343</v>
      </c>
      <c r="M608" t="s">
        <v>347</v>
      </c>
      <c r="N608" t="s">
        <v>351</v>
      </c>
      <c r="O608" t="s">
        <v>355</v>
      </c>
      <c r="P608" t="s">
        <v>361</v>
      </c>
      <c r="Q608">
        <v>316.22000000000003</v>
      </c>
      <c r="R608">
        <v>2</v>
      </c>
      <c r="S608">
        <v>-1.33</v>
      </c>
    </row>
    <row r="609" spans="1:19" x14ac:dyDescent="0.25">
      <c r="A609">
        <v>608</v>
      </c>
      <c r="B609" s="2">
        <v>45286</v>
      </c>
      <c r="C609">
        <v>2023</v>
      </c>
      <c r="D609" t="s">
        <v>29</v>
      </c>
      <c r="E609" s="2">
        <v>45291</v>
      </c>
      <c r="F609">
        <v>5</v>
      </c>
      <c r="G609" t="s">
        <v>34</v>
      </c>
      <c r="H609" t="s">
        <v>199</v>
      </c>
      <c r="I609" t="s">
        <v>324</v>
      </c>
      <c r="J609" t="s">
        <v>327</v>
      </c>
      <c r="K609" t="s">
        <v>337</v>
      </c>
      <c r="L609" t="s">
        <v>344</v>
      </c>
      <c r="M609" t="s">
        <v>347</v>
      </c>
      <c r="N609" t="s">
        <v>351</v>
      </c>
      <c r="O609" t="s">
        <v>356</v>
      </c>
      <c r="P609" t="s">
        <v>362</v>
      </c>
      <c r="Q609">
        <v>175.95</v>
      </c>
      <c r="R609">
        <v>9</v>
      </c>
      <c r="S609">
        <v>-20.75</v>
      </c>
    </row>
    <row r="610" spans="1:19" x14ac:dyDescent="0.25">
      <c r="A610">
        <v>609</v>
      </c>
      <c r="B610" s="2">
        <v>44172</v>
      </c>
      <c r="C610">
        <v>2020</v>
      </c>
      <c r="D610" t="s">
        <v>29</v>
      </c>
      <c r="E610" s="2">
        <v>44177</v>
      </c>
      <c r="F610">
        <v>5</v>
      </c>
      <c r="G610" t="s">
        <v>33</v>
      </c>
      <c r="H610" t="s">
        <v>253</v>
      </c>
      <c r="I610" t="s">
        <v>323</v>
      </c>
      <c r="J610" t="s">
        <v>327</v>
      </c>
      <c r="K610" t="s">
        <v>337</v>
      </c>
      <c r="L610" t="s">
        <v>344</v>
      </c>
      <c r="M610" t="s">
        <v>347</v>
      </c>
      <c r="N610" t="s">
        <v>351</v>
      </c>
      <c r="O610" t="s">
        <v>356</v>
      </c>
      <c r="P610" t="s">
        <v>359</v>
      </c>
      <c r="Q610">
        <v>385.38</v>
      </c>
      <c r="R610">
        <v>6</v>
      </c>
      <c r="S610">
        <v>85.37</v>
      </c>
    </row>
    <row r="611" spans="1:19" x14ac:dyDescent="0.25">
      <c r="A611">
        <v>610</v>
      </c>
      <c r="B611" s="2">
        <v>45920</v>
      </c>
      <c r="C611">
        <v>2025</v>
      </c>
      <c r="D611" t="s">
        <v>25</v>
      </c>
      <c r="E611" s="2">
        <v>45929</v>
      </c>
      <c r="F611">
        <v>9</v>
      </c>
      <c r="G611" t="s">
        <v>34</v>
      </c>
      <c r="H611" t="s">
        <v>291</v>
      </c>
      <c r="I611" t="s">
        <v>325</v>
      </c>
      <c r="J611" t="s">
        <v>326</v>
      </c>
      <c r="K611" t="s">
        <v>331</v>
      </c>
      <c r="L611" t="s">
        <v>340</v>
      </c>
      <c r="M611" t="s">
        <v>347</v>
      </c>
      <c r="N611" t="s">
        <v>351</v>
      </c>
      <c r="O611" t="s">
        <v>355</v>
      </c>
      <c r="P611" t="s">
        <v>361</v>
      </c>
      <c r="Q611">
        <v>115.98</v>
      </c>
      <c r="R611">
        <v>10</v>
      </c>
      <c r="S611">
        <v>-29.11</v>
      </c>
    </row>
    <row r="612" spans="1:19" x14ac:dyDescent="0.25">
      <c r="A612">
        <v>611</v>
      </c>
      <c r="B612" s="2">
        <v>45113</v>
      </c>
      <c r="C612">
        <v>2023</v>
      </c>
      <c r="D612" t="s">
        <v>20</v>
      </c>
      <c r="E612" s="2">
        <v>45120</v>
      </c>
      <c r="F612">
        <v>7</v>
      </c>
      <c r="G612" t="s">
        <v>34</v>
      </c>
      <c r="H612" t="s">
        <v>156</v>
      </c>
      <c r="I612" t="s">
        <v>323</v>
      </c>
      <c r="J612" t="s">
        <v>327</v>
      </c>
      <c r="K612" t="s">
        <v>330</v>
      </c>
      <c r="L612" t="s">
        <v>339</v>
      </c>
      <c r="M612" t="s">
        <v>346</v>
      </c>
      <c r="N612" t="s">
        <v>351</v>
      </c>
      <c r="O612" t="s">
        <v>356</v>
      </c>
      <c r="P612" t="s">
        <v>360</v>
      </c>
      <c r="Q612">
        <v>480.98</v>
      </c>
      <c r="R612">
        <v>2</v>
      </c>
      <c r="S612">
        <v>95.06</v>
      </c>
    </row>
    <row r="613" spans="1:19" x14ac:dyDescent="0.25">
      <c r="A613">
        <v>612</v>
      </c>
      <c r="B613" s="2">
        <v>44730</v>
      </c>
      <c r="C613">
        <v>2022</v>
      </c>
      <c r="D613" t="s">
        <v>21</v>
      </c>
      <c r="E613" s="2">
        <v>44740</v>
      </c>
      <c r="F613">
        <v>10</v>
      </c>
      <c r="G613" t="s">
        <v>34</v>
      </c>
      <c r="H613" t="s">
        <v>227</v>
      </c>
      <c r="I613" t="s">
        <v>323</v>
      </c>
      <c r="J613" t="s">
        <v>326</v>
      </c>
      <c r="K613" t="s">
        <v>333</v>
      </c>
      <c r="L613" t="s">
        <v>342</v>
      </c>
      <c r="M613" t="s">
        <v>345</v>
      </c>
      <c r="N613" t="s">
        <v>350</v>
      </c>
      <c r="O613" t="s">
        <v>353</v>
      </c>
      <c r="P613" t="s">
        <v>362</v>
      </c>
      <c r="Q613">
        <v>264.49</v>
      </c>
      <c r="R613">
        <v>4</v>
      </c>
      <c r="S613">
        <v>39.840000000000003</v>
      </c>
    </row>
    <row r="614" spans="1:19" x14ac:dyDescent="0.25">
      <c r="A614">
        <v>613</v>
      </c>
      <c r="B614" s="2">
        <v>45875</v>
      </c>
      <c r="C614">
        <v>2025</v>
      </c>
      <c r="D614" t="s">
        <v>27</v>
      </c>
      <c r="E614" s="2">
        <v>45878</v>
      </c>
      <c r="F614">
        <v>3</v>
      </c>
      <c r="G614" t="s">
        <v>32</v>
      </c>
      <c r="H614" t="s">
        <v>280</v>
      </c>
      <c r="I614" t="s">
        <v>323</v>
      </c>
      <c r="J614" t="s">
        <v>326</v>
      </c>
      <c r="K614" t="s">
        <v>329</v>
      </c>
      <c r="L614" t="s">
        <v>338</v>
      </c>
      <c r="M614" t="s">
        <v>345</v>
      </c>
      <c r="N614" t="s">
        <v>350</v>
      </c>
      <c r="O614" t="s">
        <v>354</v>
      </c>
      <c r="P614" t="s">
        <v>362</v>
      </c>
      <c r="Q614">
        <v>483.44</v>
      </c>
      <c r="R614">
        <v>4</v>
      </c>
      <c r="S614">
        <v>170.8</v>
      </c>
    </row>
    <row r="615" spans="1:19" x14ac:dyDescent="0.25">
      <c r="A615">
        <v>614</v>
      </c>
      <c r="B615" s="2">
        <v>45992</v>
      </c>
      <c r="C615">
        <v>2025</v>
      </c>
      <c r="D615" t="s">
        <v>29</v>
      </c>
      <c r="E615" s="2">
        <v>46002</v>
      </c>
      <c r="F615">
        <v>10</v>
      </c>
      <c r="G615" t="s">
        <v>33</v>
      </c>
      <c r="H615" t="s">
        <v>169</v>
      </c>
      <c r="I615" t="s">
        <v>325</v>
      </c>
      <c r="J615" t="s">
        <v>328</v>
      </c>
      <c r="K615" t="s">
        <v>332</v>
      </c>
      <c r="L615" t="s">
        <v>341</v>
      </c>
      <c r="M615" t="s">
        <v>348</v>
      </c>
      <c r="N615" t="s">
        <v>350</v>
      </c>
      <c r="O615" t="s">
        <v>353</v>
      </c>
      <c r="P615" t="s">
        <v>361</v>
      </c>
      <c r="Q615">
        <v>316.91000000000003</v>
      </c>
      <c r="R615">
        <v>6</v>
      </c>
      <c r="S615">
        <v>-24.86</v>
      </c>
    </row>
    <row r="616" spans="1:19" x14ac:dyDescent="0.25">
      <c r="A616">
        <v>615</v>
      </c>
      <c r="B616" s="2">
        <v>45456</v>
      </c>
      <c r="C616">
        <v>2024</v>
      </c>
      <c r="D616" t="s">
        <v>21</v>
      </c>
      <c r="E616" s="2">
        <v>45458</v>
      </c>
      <c r="F616">
        <v>2</v>
      </c>
      <c r="G616" t="s">
        <v>34</v>
      </c>
      <c r="H616" t="s">
        <v>176</v>
      </c>
      <c r="I616" t="s">
        <v>325</v>
      </c>
      <c r="J616" t="s">
        <v>327</v>
      </c>
      <c r="K616" t="s">
        <v>330</v>
      </c>
      <c r="L616" t="s">
        <v>339</v>
      </c>
      <c r="M616" t="s">
        <v>346</v>
      </c>
      <c r="N616" t="s">
        <v>350</v>
      </c>
      <c r="O616" t="s">
        <v>354</v>
      </c>
      <c r="P616" t="s">
        <v>359</v>
      </c>
      <c r="Q616">
        <v>433.28</v>
      </c>
      <c r="R616">
        <v>6</v>
      </c>
      <c r="S616">
        <v>177.49</v>
      </c>
    </row>
    <row r="617" spans="1:19" x14ac:dyDescent="0.25">
      <c r="A617">
        <v>616</v>
      </c>
      <c r="B617" s="2">
        <v>43986</v>
      </c>
      <c r="C617">
        <v>2020</v>
      </c>
      <c r="D617" t="s">
        <v>21</v>
      </c>
      <c r="E617" s="2">
        <v>43996</v>
      </c>
      <c r="F617">
        <v>10</v>
      </c>
      <c r="G617" t="s">
        <v>31</v>
      </c>
      <c r="H617" t="s">
        <v>292</v>
      </c>
      <c r="I617" t="s">
        <v>323</v>
      </c>
      <c r="J617" t="s">
        <v>327</v>
      </c>
      <c r="K617" t="s">
        <v>330</v>
      </c>
      <c r="L617" t="s">
        <v>339</v>
      </c>
      <c r="M617" t="s">
        <v>346</v>
      </c>
      <c r="N617" t="s">
        <v>352</v>
      </c>
      <c r="O617" t="s">
        <v>357</v>
      </c>
      <c r="P617" t="s">
        <v>361</v>
      </c>
      <c r="Q617">
        <v>186.83</v>
      </c>
      <c r="R617">
        <v>5</v>
      </c>
      <c r="S617">
        <v>9.09</v>
      </c>
    </row>
    <row r="618" spans="1:19" x14ac:dyDescent="0.25">
      <c r="A618">
        <v>617</v>
      </c>
      <c r="B618" s="2">
        <v>45685</v>
      </c>
      <c r="C618">
        <v>2025</v>
      </c>
      <c r="D618" t="s">
        <v>23</v>
      </c>
      <c r="E618" s="2">
        <v>45694</v>
      </c>
      <c r="F618">
        <v>9</v>
      </c>
      <c r="G618" t="s">
        <v>33</v>
      </c>
      <c r="H618" t="s">
        <v>104</v>
      </c>
      <c r="I618" t="s">
        <v>325</v>
      </c>
      <c r="J618" t="s">
        <v>327</v>
      </c>
      <c r="K618" t="s">
        <v>334</v>
      </c>
      <c r="L618" t="s">
        <v>334</v>
      </c>
      <c r="M618" t="s">
        <v>349</v>
      </c>
      <c r="N618" t="s">
        <v>351</v>
      </c>
      <c r="O618" t="s">
        <v>356</v>
      </c>
      <c r="P618" t="s">
        <v>361</v>
      </c>
      <c r="Q618">
        <v>166.68</v>
      </c>
      <c r="R618">
        <v>7</v>
      </c>
      <c r="S618">
        <v>-2.78</v>
      </c>
    </row>
    <row r="619" spans="1:19" x14ac:dyDescent="0.25">
      <c r="A619">
        <v>618</v>
      </c>
      <c r="B619" s="2">
        <v>43868</v>
      </c>
      <c r="C619">
        <v>2020</v>
      </c>
      <c r="D619" t="s">
        <v>28</v>
      </c>
      <c r="E619" s="2">
        <v>43876</v>
      </c>
      <c r="F619">
        <v>8</v>
      </c>
      <c r="G619" t="s">
        <v>32</v>
      </c>
      <c r="H619" t="s">
        <v>143</v>
      </c>
      <c r="I619" t="s">
        <v>323</v>
      </c>
      <c r="J619" t="s">
        <v>328</v>
      </c>
      <c r="K619" t="s">
        <v>336</v>
      </c>
      <c r="L619" t="s">
        <v>343</v>
      </c>
      <c r="M619" t="s">
        <v>347</v>
      </c>
      <c r="N619" t="s">
        <v>352</v>
      </c>
      <c r="O619" t="s">
        <v>358</v>
      </c>
      <c r="P619" t="s">
        <v>360</v>
      </c>
      <c r="Q619">
        <v>331.54</v>
      </c>
      <c r="R619">
        <v>9</v>
      </c>
      <c r="S619">
        <v>76.06</v>
      </c>
    </row>
    <row r="620" spans="1:19" x14ac:dyDescent="0.25">
      <c r="A620">
        <v>619</v>
      </c>
      <c r="B620" s="2">
        <v>45940</v>
      </c>
      <c r="C620">
        <v>2025</v>
      </c>
      <c r="D620" t="s">
        <v>22</v>
      </c>
      <c r="E620" s="2">
        <v>45944</v>
      </c>
      <c r="F620">
        <v>4</v>
      </c>
      <c r="G620" t="s">
        <v>32</v>
      </c>
      <c r="H620" t="s">
        <v>293</v>
      </c>
      <c r="I620" t="s">
        <v>325</v>
      </c>
      <c r="J620" t="s">
        <v>326</v>
      </c>
      <c r="K620" t="s">
        <v>333</v>
      </c>
      <c r="L620" t="s">
        <v>342</v>
      </c>
      <c r="M620" t="s">
        <v>345</v>
      </c>
      <c r="N620" t="s">
        <v>350</v>
      </c>
      <c r="O620" t="s">
        <v>354</v>
      </c>
      <c r="P620" t="s">
        <v>361</v>
      </c>
      <c r="Q620">
        <v>335.1</v>
      </c>
      <c r="R620">
        <v>7</v>
      </c>
      <c r="S620">
        <v>165.52</v>
      </c>
    </row>
    <row r="621" spans="1:19" x14ac:dyDescent="0.25">
      <c r="A621">
        <v>620</v>
      </c>
      <c r="B621" s="2">
        <v>44930</v>
      </c>
      <c r="C621">
        <v>2023</v>
      </c>
      <c r="D621" t="s">
        <v>23</v>
      </c>
      <c r="E621" s="2">
        <v>44937</v>
      </c>
      <c r="F621">
        <v>7</v>
      </c>
      <c r="G621" t="s">
        <v>32</v>
      </c>
      <c r="H621" t="s">
        <v>61</v>
      </c>
      <c r="I621" t="s">
        <v>325</v>
      </c>
      <c r="J621" t="s">
        <v>328</v>
      </c>
      <c r="K621" t="s">
        <v>336</v>
      </c>
      <c r="L621" t="s">
        <v>343</v>
      </c>
      <c r="M621" t="s">
        <v>347</v>
      </c>
      <c r="N621" t="s">
        <v>351</v>
      </c>
      <c r="O621" t="s">
        <v>355</v>
      </c>
      <c r="P621" t="s">
        <v>360</v>
      </c>
      <c r="Q621">
        <v>132.69999999999999</v>
      </c>
      <c r="R621">
        <v>4</v>
      </c>
      <c r="S621">
        <v>53.58</v>
      </c>
    </row>
    <row r="622" spans="1:19" x14ac:dyDescent="0.25">
      <c r="A622">
        <v>621</v>
      </c>
      <c r="B622" s="2">
        <v>44293</v>
      </c>
      <c r="C622">
        <v>2021</v>
      </c>
      <c r="D622" t="s">
        <v>26</v>
      </c>
      <c r="E622" s="2">
        <v>44299</v>
      </c>
      <c r="F622">
        <v>6</v>
      </c>
      <c r="G622" t="s">
        <v>32</v>
      </c>
      <c r="H622" t="s">
        <v>75</v>
      </c>
      <c r="I622" t="s">
        <v>324</v>
      </c>
      <c r="J622" t="s">
        <v>326</v>
      </c>
      <c r="K622" t="s">
        <v>333</v>
      </c>
      <c r="L622" t="s">
        <v>342</v>
      </c>
      <c r="M622" t="s">
        <v>345</v>
      </c>
      <c r="N622" t="s">
        <v>351</v>
      </c>
      <c r="O622" t="s">
        <v>355</v>
      </c>
      <c r="P622" t="s">
        <v>361</v>
      </c>
      <c r="Q622">
        <v>300.58</v>
      </c>
      <c r="R622">
        <v>6</v>
      </c>
      <c r="S622">
        <v>138.69999999999999</v>
      </c>
    </row>
    <row r="623" spans="1:19" x14ac:dyDescent="0.25">
      <c r="A623">
        <v>622</v>
      </c>
      <c r="B623" s="2">
        <v>44767</v>
      </c>
      <c r="C623">
        <v>2022</v>
      </c>
      <c r="D623" t="s">
        <v>20</v>
      </c>
      <c r="E623" s="2">
        <v>44773</v>
      </c>
      <c r="F623">
        <v>6</v>
      </c>
      <c r="G623" t="s">
        <v>32</v>
      </c>
      <c r="H623" t="s">
        <v>159</v>
      </c>
      <c r="I623" t="s">
        <v>325</v>
      </c>
      <c r="J623" t="s">
        <v>326</v>
      </c>
      <c r="K623" t="s">
        <v>333</v>
      </c>
      <c r="L623" t="s">
        <v>342</v>
      </c>
      <c r="M623" t="s">
        <v>345</v>
      </c>
      <c r="N623" t="s">
        <v>350</v>
      </c>
      <c r="O623" t="s">
        <v>354</v>
      </c>
      <c r="P623" t="s">
        <v>362</v>
      </c>
      <c r="Q623">
        <v>477.39</v>
      </c>
      <c r="R623">
        <v>3</v>
      </c>
      <c r="S623">
        <v>-91.86</v>
      </c>
    </row>
    <row r="624" spans="1:19" x14ac:dyDescent="0.25">
      <c r="A624">
        <v>623</v>
      </c>
      <c r="B624" s="2">
        <v>45130</v>
      </c>
      <c r="C624">
        <v>2023</v>
      </c>
      <c r="D624" t="s">
        <v>20</v>
      </c>
      <c r="E624" s="2">
        <v>45131</v>
      </c>
      <c r="F624">
        <v>1</v>
      </c>
      <c r="G624" t="s">
        <v>33</v>
      </c>
      <c r="H624" t="s">
        <v>294</v>
      </c>
      <c r="I624" t="s">
        <v>325</v>
      </c>
      <c r="J624" t="s">
        <v>326</v>
      </c>
      <c r="K624" t="s">
        <v>329</v>
      </c>
      <c r="L624" t="s">
        <v>338</v>
      </c>
      <c r="M624" t="s">
        <v>345</v>
      </c>
      <c r="N624" t="s">
        <v>350</v>
      </c>
      <c r="O624" t="s">
        <v>354</v>
      </c>
      <c r="P624" t="s">
        <v>362</v>
      </c>
      <c r="Q624">
        <v>307.12</v>
      </c>
      <c r="R624">
        <v>10</v>
      </c>
      <c r="S624">
        <v>42.64</v>
      </c>
    </row>
    <row r="625" spans="1:19" x14ac:dyDescent="0.25">
      <c r="A625">
        <v>624</v>
      </c>
      <c r="B625" s="2">
        <v>44718</v>
      </c>
      <c r="C625">
        <v>2022</v>
      </c>
      <c r="D625" t="s">
        <v>21</v>
      </c>
      <c r="E625" s="2">
        <v>44721</v>
      </c>
      <c r="F625">
        <v>3</v>
      </c>
      <c r="G625" t="s">
        <v>32</v>
      </c>
      <c r="H625" t="s">
        <v>75</v>
      </c>
      <c r="I625" t="s">
        <v>323</v>
      </c>
      <c r="J625" t="s">
        <v>327</v>
      </c>
      <c r="K625" t="s">
        <v>334</v>
      </c>
      <c r="L625" t="s">
        <v>334</v>
      </c>
      <c r="M625" t="s">
        <v>349</v>
      </c>
      <c r="N625" t="s">
        <v>351</v>
      </c>
      <c r="O625" t="s">
        <v>356</v>
      </c>
      <c r="P625" t="s">
        <v>361</v>
      </c>
      <c r="Q625">
        <v>162</v>
      </c>
      <c r="R625">
        <v>4</v>
      </c>
      <c r="S625">
        <v>-44.54</v>
      </c>
    </row>
    <row r="626" spans="1:19" x14ac:dyDescent="0.25">
      <c r="A626">
        <v>625</v>
      </c>
      <c r="B626" s="2">
        <v>45684</v>
      </c>
      <c r="C626">
        <v>2025</v>
      </c>
      <c r="D626" t="s">
        <v>23</v>
      </c>
      <c r="E626" s="2">
        <v>45688</v>
      </c>
      <c r="F626">
        <v>4</v>
      </c>
      <c r="G626" t="s">
        <v>33</v>
      </c>
      <c r="H626" t="s">
        <v>193</v>
      </c>
      <c r="I626" t="s">
        <v>323</v>
      </c>
      <c r="J626" t="s">
        <v>326</v>
      </c>
      <c r="K626" t="s">
        <v>329</v>
      </c>
      <c r="L626" t="s">
        <v>338</v>
      </c>
      <c r="M626" t="s">
        <v>345</v>
      </c>
      <c r="N626" t="s">
        <v>350</v>
      </c>
      <c r="O626" t="s">
        <v>354</v>
      </c>
      <c r="P626" t="s">
        <v>360</v>
      </c>
      <c r="Q626">
        <v>444.94</v>
      </c>
      <c r="R626">
        <v>6</v>
      </c>
      <c r="S626">
        <v>-10.53</v>
      </c>
    </row>
    <row r="627" spans="1:19" x14ac:dyDescent="0.25">
      <c r="A627">
        <v>626</v>
      </c>
      <c r="B627" s="2">
        <v>45771</v>
      </c>
      <c r="C627">
        <v>2025</v>
      </c>
      <c r="D627" t="s">
        <v>26</v>
      </c>
      <c r="E627" s="2">
        <v>45777</v>
      </c>
      <c r="F627">
        <v>6</v>
      </c>
      <c r="G627" t="s">
        <v>31</v>
      </c>
      <c r="H627" t="s">
        <v>106</v>
      </c>
      <c r="I627" t="s">
        <v>325</v>
      </c>
      <c r="J627" t="s">
        <v>328</v>
      </c>
      <c r="K627" t="s">
        <v>336</v>
      </c>
      <c r="L627" t="s">
        <v>343</v>
      </c>
      <c r="M627" t="s">
        <v>347</v>
      </c>
      <c r="N627" t="s">
        <v>352</v>
      </c>
      <c r="O627" t="s">
        <v>357</v>
      </c>
      <c r="P627" t="s">
        <v>360</v>
      </c>
      <c r="Q627">
        <v>90.55</v>
      </c>
      <c r="R627">
        <v>2</v>
      </c>
      <c r="S627">
        <v>15.88</v>
      </c>
    </row>
    <row r="628" spans="1:19" x14ac:dyDescent="0.25">
      <c r="A628">
        <v>627</v>
      </c>
      <c r="B628" s="2">
        <v>45859</v>
      </c>
      <c r="C628">
        <v>2025</v>
      </c>
      <c r="D628" t="s">
        <v>20</v>
      </c>
      <c r="E628" s="2">
        <v>45861</v>
      </c>
      <c r="F628">
        <v>2</v>
      </c>
      <c r="G628" t="s">
        <v>31</v>
      </c>
      <c r="H628" t="s">
        <v>126</v>
      </c>
      <c r="I628" t="s">
        <v>323</v>
      </c>
      <c r="J628" t="s">
        <v>327</v>
      </c>
      <c r="K628" t="s">
        <v>337</v>
      </c>
      <c r="L628" t="s">
        <v>344</v>
      </c>
      <c r="M628" t="s">
        <v>347</v>
      </c>
      <c r="N628" t="s">
        <v>352</v>
      </c>
      <c r="O628" t="s">
        <v>358</v>
      </c>
      <c r="P628" t="s">
        <v>362</v>
      </c>
      <c r="Q628">
        <v>199.48</v>
      </c>
      <c r="R628">
        <v>10</v>
      </c>
      <c r="S628">
        <v>-16.09</v>
      </c>
    </row>
    <row r="629" spans="1:19" x14ac:dyDescent="0.25">
      <c r="A629">
        <v>628</v>
      </c>
      <c r="B629" s="2">
        <v>43992</v>
      </c>
      <c r="C629">
        <v>2020</v>
      </c>
      <c r="D629" t="s">
        <v>21</v>
      </c>
      <c r="E629" s="2">
        <v>43996</v>
      </c>
      <c r="F629">
        <v>4</v>
      </c>
      <c r="G629" t="s">
        <v>31</v>
      </c>
      <c r="H629" t="s">
        <v>51</v>
      </c>
      <c r="I629" t="s">
        <v>323</v>
      </c>
      <c r="J629" t="s">
        <v>327</v>
      </c>
      <c r="K629" t="s">
        <v>330</v>
      </c>
      <c r="L629" t="s">
        <v>339</v>
      </c>
      <c r="M629" t="s">
        <v>346</v>
      </c>
      <c r="N629" t="s">
        <v>350</v>
      </c>
      <c r="O629" t="s">
        <v>354</v>
      </c>
      <c r="P629" t="s">
        <v>361</v>
      </c>
      <c r="Q629">
        <v>179.18</v>
      </c>
      <c r="R629">
        <v>1</v>
      </c>
      <c r="S629">
        <v>3.38</v>
      </c>
    </row>
    <row r="630" spans="1:19" x14ac:dyDescent="0.25">
      <c r="A630">
        <v>629</v>
      </c>
      <c r="B630" s="2">
        <v>45187</v>
      </c>
      <c r="C630">
        <v>2023</v>
      </c>
      <c r="D630" t="s">
        <v>25</v>
      </c>
      <c r="E630" s="2">
        <v>45191</v>
      </c>
      <c r="F630">
        <v>4</v>
      </c>
      <c r="G630" t="s">
        <v>32</v>
      </c>
      <c r="H630" t="s">
        <v>295</v>
      </c>
      <c r="I630" t="s">
        <v>325</v>
      </c>
      <c r="J630" t="s">
        <v>327</v>
      </c>
      <c r="K630" t="s">
        <v>330</v>
      </c>
      <c r="L630" t="s">
        <v>339</v>
      </c>
      <c r="M630" t="s">
        <v>346</v>
      </c>
      <c r="N630" t="s">
        <v>350</v>
      </c>
      <c r="O630" t="s">
        <v>353</v>
      </c>
      <c r="P630" t="s">
        <v>362</v>
      </c>
      <c r="Q630">
        <v>402.51</v>
      </c>
      <c r="R630">
        <v>1</v>
      </c>
      <c r="S630">
        <v>-51.54</v>
      </c>
    </row>
    <row r="631" spans="1:19" x14ac:dyDescent="0.25">
      <c r="A631">
        <v>630</v>
      </c>
      <c r="B631" s="2">
        <v>45903</v>
      </c>
      <c r="C631">
        <v>2025</v>
      </c>
      <c r="D631" t="s">
        <v>25</v>
      </c>
      <c r="E631" s="2">
        <v>45906</v>
      </c>
      <c r="F631">
        <v>3</v>
      </c>
      <c r="G631" t="s">
        <v>32</v>
      </c>
      <c r="H631" t="s">
        <v>88</v>
      </c>
      <c r="I631" t="s">
        <v>324</v>
      </c>
      <c r="J631" t="s">
        <v>328</v>
      </c>
      <c r="K631" t="s">
        <v>336</v>
      </c>
      <c r="L631" t="s">
        <v>343</v>
      </c>
      <c r="M631" t="s">
        <v>347</v>
      </c>
      <c r="N631" t="s">
        <v>352</v>
      </c>
      <c r="O631" t="s">
        <v>358</v>
      </c>
      <c r="P631" t="s">
        <v>359</v>
      </c>
      <c r="Q631">
        <v>72.930000000000007</v>
      </c>
      <c r="R631">
        <v>7</v>
      </c>
      <c r="S631">
        <v>15.16</v>
      </c>
    </row>
    <row r="632" spans="1:19" x14ac:dyDescent="0.25">
      <c r="A632">
        <v>631</v>
      </c>
      <c r="B632" s="2">
        <v>44940</v>
      </c>
      <c r="C632">
        <v>2023</v>
      </c>
      <c r="D632" t="s">
        <v>23</v>
      </c>
      <c r="E632" s="2">
        <v>44941</v>
      </c>
      <c r="F632">
        <v>1</v>
      </c>
      <c r="G632" t="s">
        <v>33</v>
      </c>
      <c r="H632" t="s">
        <v>113</v>
      </c>
      <c r="I632" t="s">
        <v>324</v>
      </c>
      <c r="J632" t="s">
        <v>327</v>
      </c>
      <c r="K632" t="s">
        <v>330</v>
      </c>
      <c r="L632" t="s">
        <v>339</v>
      </c>
      <c r="M632" t="s">
        <v>346</v>
      </c>
      <c r="N632" t="s">
        <v>350</v>
      </c>
      <c r="O632" t="s">
        <v>353</v>
      </c>
      <c r="P632" t="s">
        <v>359</v>
      </c>
      <c r="Q632">
        <v>170.04</v>
      </c>
      <c r="R632">
        <v>2</v>
      </c>
      <c r="S632">
        <v>-16.97</v>
      </c>
    </row>
    <row r="633" spans="1:19" x14ac:dyDescent="0.25">
      <c r="A633">
        <v>632</v>
      </c>
      <c r="B633" s="2">
        <v>44334</v>
      </c>
      <c r="C633">
        <v>2021</v>
      </c>
      <c r="D633" t="s">
        <v>19</v>
      </c>
      <c r="E633" s="2">
        <v>44343</v>
      </c>
      <c r="F633">
        <v>9</v>
      </c>
      <c r="G633" t="s">
        <v>31</v>
      </c>
      <c r="H633" t="s">
        <v>296</v>
      </c>
      <c r="I633" t="s">
        <v>323</v>
      </c>
      <c r="J633" t="s">
        <v>328</v>
      </c>
      <c r="K633" t="s">
        <v>335</v>
      </c>
      <c r="L633" t="s">
        <v>335</v>
      </c>
      <c r="M633" t="s">
        <v>345</v>
      </c>
      <c r="N633" t="s">
        <v>352</v>
      </c>
      <c r="O633" t="s">
        <v>357</v>
      </c>
      <c r="P633" t="s">
        <v>360</v>
      </c>
      <c r="Q633">
        <v>320.72000000000003</v>
      </c>
      <c r="R633">
        <v>1</v>
      </c>
      <c r="S633">
        <v>115.8</v>
      </c>
    </row>
    <row r="634" spans="1:19" x14ac:dyDescent="0.25">
      <c r="A634">
        <v>633</v>
      </c>
      <c r="B634" s="2">
        <v>43832</v>
      </c>
      <c r="C634">
        <v>2020</v>
      </c>
      <c r="D634" t="s">
        <v>23</v>
      </c>
      <c r="E634" s="2">
        <v>43838</v>
      </c>
      <c r="F634">
        <v>6</v>
      </c>
      <c r="G634" t="s">
        <v>32</v>
      </c>
      <c r="H634" t="s">
        <v>81</v>
      </c>
      <c r="I634" t="s">
        <v>324</v>
      </c>
      <c r="J634" t="s">
        <v>326</v>
      </c>
      <c r="K634" t="s">
        <v>333</v>
      </c>
      <c r="L634" t="s">
        <v>342</v>
      </c>
      <c r="M634" t="s">
        <v>345</v>
      </c>
      <c r="N634" t="s">
        <v>352</v>
      </c>
      <c r="O634" t="s">
        <v>357</v>
      </c>
      <c r="P634" t="s">
        <v>360</v>
      </c>
      <c r="Q634">
        <v>229.74</v>
      </c>
      <c r="R634">
        <v>5</v>
      </c>
      <c r="S634">
        <v>48.55</v>
      </c>
    </row>
    <row r="635" spans="1:19" x14ac:dyDescent="0.25">
      <c r="A635">
        <v>634</v>
      </c>
      <c r="B635" s="2">
        <v>45053</v>
      </c>
      <c r="C635">
        <v>2023</v>
      </c>
      <c r="D635" t="s">
        <v>19</v>
      </c>
      <c r="E635" s="2">
        <v>45059</v>
      </c>
      <c r="F635">
        <v>6</v>
      </c>
      <c r="G635" t="s">
        <v>33</v>
      </c>
      <c r="H635" t="s">
        <v>108</v>
      </c>
      <c r="I635" t="s">
        <v>324</v>
      </c>
      <c r="J635" t="s">
        <v>326</v>
      </c>
      <c r="K635" t="s">
        <v>331</v>
      </c>
      <c r="L635" t="s">
        <v>340</v>
      </c>
      <c r="M635" t="s">
        <v>347</v>
      </c>
      <c r="N635" t="s">
        <v>351</v>
      </c>
      <c r="O635" t="s">
        <v>355</v>
      </c>
      <c r="P635" t="s">
        <v>361</v>
      </c>
      <c r="Q635">
        <v>362.22</v>
      </c>
      <c r="R635">
        <v>3</v>
      </c>
      <c r="S635">
        <v>-93.5</v>
      </c>
    </row>
    <row r="636" spans="1:19" x14ac:dyDescent="0.25">
      <c r="A636">
        <v>635</v>
      </c>
      <c r="B636" s="2">
        <v>45256</v>
      </c>
      <c r="C636">
        <v>2023</v>
      </c>
      <c r="D636" t="s">
        <v>30</v>
      </c>
      <c r="E636" s="2">
        <v>45257</v>
      </c>
      <c r="F636">
        <v>1</v>
      </c>
      <c r="G636" t="s">
        <v>34</v>
      </c>
      <c r="H636" t="s">
        <v>297</v>
      </c>
      <c r="I636" t="s">
        <v>325</v>
      </c>
      <c r="J636" t="s">
        <v>328</v>
      </c>
      <c r="K636" t="s">
        <v>332</v>
      </c>
      <c r="L636" t="s">
        <v>341</v>
      </c>
      <c r="M636" t="s">
        <v>348</v>
      </c>
      <c r="N636" t="s">
        <v>350</v>
      </c>
      <c r="O636" t="s">
        <v>353</v>
      </c>
      <c r="P636" t="s">
        <v>361</v>
      </c>
      <c r="Q636">
        <v>64.069999999999993</v>
      </c>
      <c r="R636">
        <v>2</v>
      </c>
      <c r="S636">
        <v>-4.38</v>
      </c>
    </row>
    <row r="637" spans="1:19" x14ac:dyDescent="0.25">
      <c r="A637">
        <v>636</v>
      </c>
      <c r="B637" s="2">
        <v>44040</v>
      </c>
      <c r="C637">
        <v>2020</v>
      </c>
      <c r="D637" t="s">
        <v>20</v>
      </c>
      <c r="E637" s="2">
        <v>44048</v>
      </c>
      <c r="F637">
        <v>8</v>
      </c>
      <c r="G637" t="s">
        <v>31</v>
      </c>
      <c r="H637" t="s">
        <v>261</v>
      </c>
      <c r="I637" t="s">
        <v>324</v>
      </c>
      <c r="J637" t="s">
        <v>328</v>
      </c>
      <c r="K637" t="s">
        <v>335</v>
      </c>
      <c r="L637" t="s">
        <v>335</v>
      </c>
      <c r="M637" t="s">
        <v>345</v>
      </c>
      <c r="N637" t="s">
        <v>350</v>
      </c>
      <c r="O637" t="s">
        <v>353</v>
      </c>
      <c r="P637" t="s">
        <v>360</v>
      </c>
      <c r="Q637">
        <v>111.99</v>
      </c>
      <c r="R637">
        <v>4</v>
      </c>
      <c r="S637">
        <v>27.12</v>
      </c>
    </row>
    <row r="638" spans="1:19" x14ac:dyDescent="0.25">
      <c r="A638">
        <v>637</v>
      </c>
      <c r="B638" s="2">
        <v>44923</v>
      </c>
      <c r="C638">
        <v>2022</v>
      </c>
      <c r="D638" t="s">
        <v>29</v>
      </c>
      <c r="E638" s="2">
        <v>44925</v>
      </c>
      <c r="F638">
        <v>2</v>
      </c>
      <c r="G638" t="s">
        <v>33</v>
      </c>
      <c r="H638" t="s">
        <v>40</v>
      </c>
      <c r="I638" t="s">
        <v>324</v>
      </c>
      <c r="J638" t="s">
        <v>327</v>
      </c>
      <c r="K638" t="s">
        <v>334</v>
      </c>
      <c r="L638" t="s">
        <v>334</v>
      </c>
      <c r="M638" t="s">
        <v>349</v>
      </c>
      <c r="N638" t="s">
        <v>350</v>
      </c>
      <c r="O638" t="s">
        <v>353</v>
      </c>
      <c r="P638" t="s">
        <v>361</v>
      </c>
      <c r="Q638">
        <v>452.65</v>
      </c>
      <c r="R638">
        <v>9</v>
      </c>
      <c r="S638">
        <v>169.46</v>
      </c>
    </row>
    <row r="639" spans="1:19" x14ac:dyDescent="0.25">
      <c r="A639">
        <v>638</v>
      </c>
      <c r="B639" s="2">
        <v>45730</v>
      </c>
      <c r="C639">
        <v>2025</v>
      </c>
      <c r="D639" t="s">
        <v>24</v>
      </c>
      <c r="E639" s="2">
        <v>45739</v>
      </c>
      <c r="F639">
        <v>9</v>
      </c>
      <c r="G639" t="s">
        <v>32</v>
      </c>
      <c r="H639" t="s">
        <v>162</v>
      </c>
      <c r="I639" t="s">
        <v>324</v>
      </c>
      <c r="J639" t="s">
        <v>326</v>
      </c>
      <c r="K639" t="s">
        <v>331</v>
      </c>
      <c r="L639" t="s">
        <v>340</v>
      </c>
      <c r="M639" t="s">
        <v>347</v>
      </c>
      <c r="N639" t="s">
        <v>351</v>
      </c>
      <c r="O639" t="s">
        <v>355</v>
      </c>
      <c r="P639" t="s">
        <v>359</v>
      </c>
      <c r="Q639">
        <v>282.72000000000003</v>
      </c>
      <c r="R639">
        <v>4</v>
      </c>
      <c r="S639">
        <v>-39.19</v>
      </c>
    </row>
    <row r="640" spans="1:19" x14ac:dyDescent="0.25">
      <c r="A640">
        <v>639</v>
      </c>
      <c r="B640" s="2">
        <v>44581</v>
      </c>
      <c r="C640">
        <v>2022</v>
      </c>
      <c r="D640" t="s">
        <v>23</v>
      </c>
      <c r="E640" s="2">
        <v>44582</v>
      </c>
      <c r="F640">
        <v>1</v>
      </c>
      <c r="G640" t="s">
        <v>32</v>
      </c>
      <c r="H640" t="s">
        <v>269</v>
      </c>
      <c r="I640" t="s">
        <v>323</v>
      </c>
      <c r="J640" t="s">
        <v>328</v>
      </c>
      <c r="K640" t="s">
        <v>332</v>
      </c>
      <c r="L640" t="s">
        <v>341</v>
      </c>
      <c r="M640" t="s">
        <v>348</v>
      </c>
      <c r="N640" t="s">
        <v>350</v>
      </c>
      <c r="O640" t="s">
        <v>353</v>
      </c>
      <c r="P640" t="s">
        <v>360</v>
      </c>
      <c r="Q640">
        <v>425.58</v>
      </c>
      <c r="R640">
        <v>10</v>
      </c>
      <c r="S640">
        <v>-38.11</v>
      </c>
    </row>
    <row r="641" spans="1:19" x14ac:dyDescent="0.25">
      <c r="A641">
        <v>640</v>
      </c>
      <c r="B641" s="2">
        <v>44415</v>
      </c>
      <c r="C641">
        <v>2021</v>
      </c>
      <c r="D641" t="s">
        <v>27</v>
      </c>
      <c r="E641" s="2">
        <v>44420</v>
      </c>
      <c r="F641">
        <v>5</v>
      </c>
      <c r="G641" t="s">
        <v>32</v>
      </c>
      <c r="H641" t="s">
        <v>107</v>
      </c>
      <c r="I641" t="s">
        <v>323</v>
      </c>
      <c r="J641" t="s">
        <v>326</v>
      </c>
      <c r="K641" t="s">
        <v>331</v>
      </c>
      <c r="L641" t="s">
        <v>340</v>
      </c>
      <c r="M641" t="s">
        <v>347</v>
      </c>
      <c r="N641" t="s">
        <v>352</v>
      </c>
      <c r="O641" t="s">
        <v>358</v>
      </c>
      <c r="P641" t="s">
        <v>361</v>
      </c>
      <c r="Q641">
        <v>110.11</v>
      </c>
      <c r="R641">
        <v>8</v>
      </c>
      <c r="S641">
        <v>46.58</v>
      </c>
    </row>
    <row r="642" spans="1:19" x14ac:dyDescent="0.25">
      <c r="A642">
        <v>641</v>
      </c>
      <c r="B642" s="2">
        <v>43857</v>
      </c>
      <c r="C642">
        <v>2020</v>
      </c>
      <c r="D642" t="s">
        <v>23</v>
      </c>
      <c r="E642" s="2">
        <v>43858</v>
      </c>
      <c r="F642">
        <v>1</v>
      </c>
      <c r="G642" t="s">
        <v>34</v>
      </c>
      <c r="H642" t="s">
        <v>151</v>
      </c>
      <c r="I642" t="s">
        <v>325</v>
      </c>
      <c r="J642" t="s">
        <v>326</v>
      </c>
      <c r="K642" t="s">
        <v>331</v>
      </c>
      <c r="L642" t="s">
        <v>340</v>
      </c>
      <c r="M642" t="s">
        <v>347</v>
      </c>
      <c r="N642" t="s">
        <v>351</v>
      </c>
      <c r="O642" t="s">
        <v>355</v>
      </c>
      <c r="P642" t="s">
        <v>362</v>
      </c>
      <c r="Q642">
        <v>229.61</v>
      </c>
      <c r="R642">
        <v>2</v>
      </c>
      <c r="S642">
        <v>89.75</v>
      </c>
    </row>
    <row r="643" spans="1:19" x14ac:dyDescent="0.25">
      <c r="A643">
        <v>642</v>
      </c>
      <c r="B643" s="2">
        <v>45521</v>
      </c>
      <c r="C643">
        <v>2024</v>
      </c>
      <c r="D643" t="s">
        <v>27</v>
      </c>
      <c r="E643" s="2">
        <v>45531</v>
      </c>
      <c r="F643">
        <v>10</v>
      </c>
      <c r="G643" t="s">
        <v>34</v>
      </c>
      <c r="H643" t="s">
        <v>201</v>
      </c>
      <c r="I643" t="s">
        <v>325</v>
      </c>
      <c r="J643" t="s">
        <v>328</v>
      </c>
      <c r="K643" t="s">
        <v>332</v>
      </c>
      <c r="L643" t="s">
        <v>341</v>
      </c>
      <c r="M643" t="s">
        <v>348</v>
      </c>
      <c r="N643" t="s">
        <v>350</v>
      </c>
      <c r="O643" t="s">
        <v>354</v>
      </c>
      <c r="P643" t="s">
        <v>359</v>
      </c>
      <c r="Q643">
        <v>310.95999999999998</v>
      </c>
      <c r="R643">
        <v>9</v>
      </c>
      <c r="S643">
        <v>51.38</v>
      </c>
    </row>
    <row r="644" spans="1:19" x14ac:dyDescent="0.25">
      <c r="A644">
        <v>643</v>
      </c>
      <c r="B644" s="2">
        <v>45261</v>
      </c>
      <c r="C644">
        <v>2023</v>
      </c>
      <c r="D644" t="s">
        <v>29</v>
      </c>
      <c r="E644" s="2">
        <v>45263</v>
      </c>
      <c r="F644">
        <v>2</v>
      </c>
      <c r="G644" t="s">
        <v>31</v>
      </c>
      <c r="H644" t="s">
        <v>298</v>
      </c>
      <c r="I644" t="s">
        <v>324</v>
      </c>
      <c r="J644" t="s">
        <v>327</v>
      </c>
      <c r="K644" t="s">
        <v>337</v>
      </c>
      <c r="L644" t="s">
        <v>344</v>
      </c>
      <c r="M644" t="s">
        <v>347</v>
      </c>
      <c r="N644" t="s">
        <v>352</v>
      </c>
      <c r="O644" t="s">
        <v>357</v>
      </c>
      <c r="P644" t="s">
        <v>359</v>
      </c>
      <c r="Q644">
        <v>195.47</v>
      </c>
      <c r="R644">
        <v>10</v>
      </c>
      <c r="S644">
        <v>13.46</v>
      </c>
    </row>
    <row r="645" spans="1:19" x14ac:dyDescent="0.25">
      <c r="A645">
        <v>644</v>
      </c>
      <c r="B645" s="2">
        <v>44821</v>
      </c>
      <c r="C645">
        <v>2022</v>
      </c>
      <c r="D645" t="s">
        <v>25</v>
      </c>
      <c r="E645" s="2">
        <v>44826</v>
      </c>
      <c r="F645">
        <v>5</v>
      </c>
      <c r="G645" t="s">
        <v>33</v>
      </c>
      <c r="H645" t="s">
        <v>245</v>
      </c>
      <c r="I645" t="s">
        <v>325</v>
      </c>
      <c r="J645" t="s">
        <v>326</v>
      </c>
      <c r="K645" t="s">
        <v>333</v>
      </c>
      <c r="L645" t="s">
        <v>342</v>
      </c>
      <c r="M645" t="s">
        <v>345</v>
      </c>
      <c r="N645" t="s">
        <v>351</v>
      </c>
      <c r="O645" t="s">
        <v>355</v>
      </c>
      <c r="P645" t="s">
        <v>359</v>
      </c>
      <c r="Q645">
        <v>395.37</v>
      </c>
      <c r="R645">
        <v>8</v>
      </c>
      <c r="S645">
        <v>-83.07</v>
      </c>
    </row>
    <row r="646" spans="1:19" x14ac:dyDescent="0.25">
      <c r="A646">
        <v>645</v>
      </c>
      <c r="B646" s="2">
        <v>45155</v>
      </c>
      <c r="C646">
        <v>2023</v>
      </c>
      <c r="D646" t="s">
        <v>27</v>
      </c>
      <c r="E646" s="2">
        <v>45160</v>
      </c>
      <c r="F646">
        <v>5</v>
      </c>
      <c r="G646" t="s">
        <v>31</v>
      </c>
      <c r="H646" t="s">
        <v>247</v>
      </c>
      <c r="I646" t="s">
        <v>325</v>
      </c>
      <c r="J646" t="s">
        <v>326</v>
      </c>
      <c r="K646" t="s">
        <v>333</v>
      </c>
      <c r="L646" t="s">
        <v>342</v>
      </c>
      <c r="M646" t="s">
        <v>345</v>
      </c>
      <c r="N646" t="s">
        <v>352</v>
      </c>
      <c r="O646" t="s">
        <v>358</v>
      </c>
      <c r="P646" t="s">
        <v>360</v>
      </c>
      <c r="Q646">
        <v>345.47</v>
      </c>
      <c r="R646">
        <v>8</v>
      </c>
      <c r="S646">
        <v>35.770000000000003</v>
      </c>
    </row>
    <row r="647" spans="1:19" x14ac:dyDescent="0.25">
      <c r="A647">
        <v>646</v>
      </c>
      <c r="B647" s="2">
        <v>44815</v>
      </c>
      <c r="C647">
        <v>2022</v>
      </c>
      <c r="D647" t="s">
        <v>25</v>
      </c>
      <c r="E647" s="2">
        <v>44817</v>
      </c>
      <c r="F647">
        <v>2</v>
      </c>
      <c r="G647" t="s">
        <v>33</v>
      </c>
      <c r="H647" t="s">
        <v>211</v>
      </c>
      <c r="I647" t="s">
        <v>323</v>
      </c>
      <c r="J647" t="s">
        <v>326</v>
      </c>
      <c r="K647" t="s">
        <v>331</v>
      </c>
      <c r="L647" t="s">
        <v>340</v>
      </c>
      <c r="M647" t="s">
        <v>347</v>
      </c>
      <c r="N647" t="s">
        <v>350</v>
      </c>
      <c r="O647" t="s">
        <v>353</v>
      </c>
      <c r="P647" t="s">
        <v>359</v>
      </c>
      <c r="Q647">
        <v>187.99</v>
      </c>
      <c r="R647">
        <v>6</v>
      </c>
      <c r="S647">
        <v>-16.27</v>
      </c>
    </row>
    <row r="648" spans="1:19" x14ac:dyDescent="0.25">
      <c r="A648">
        <v>647</v>
      </c>
      <c r="B648" s="2">
        <v>45571</v>
      </c>
      <c r="C648">
        <v>2024</v>
      </c>
      <c r="D648" t="s">
        <v>22</v>
      </c>
      <c r="E648" s="2">
        <v>45574</v>
      </c>
      <c r="F648">
        <v>3</v>
      </c>
      <c r="G648" t="s">
        <v>33</v>
      </c>
      <c r="H648" t="s">
        <v>299</v>
      </c>
      <c r="I648" t="s">
        <v>325</v>
      </c>
      <c r="J648" t="s">
        <v>326</v>
      </c>
      <c r="K648" t="s">
        <v>333</v>
      </c>
      <c r="L648" t="s">
        <v>342</v>
      </c>
      <c r="M648" t="s">
        <v>345</v>
      </c>
      <c r="N648" t="s">
        <v>352</v>
      </c>
      <c r="O648" t="s">
        <v>358</v>
      </c>
      <c r="P648" t="s">
        <v>362</v>
      </c>
      <c r="Q648">
        <v>404.66</v>
      </c>
      <c r="R648">
        <v>7</v>
      </c>
      <c r="S648">
        <v>192.41</v>
      </c>
    </row>
    <row r="649" spans="1:19" x14ac:dyDescent="0.25">
      <c r="A649">
        <v>648</v>
      </c>
      <c r="B649" s="2">
        <v>45739</v>
      </c>
      <c r="C649">
        <v>2025</v>
      </c>
      <c r="D649" t="s">
        <v>24</v>
      </c>
      <c r="E649" s="2">
        <v>45744</v>
      </c>
      <c r="F649">
        <v>5</v>
      </c>
      <c r="G649" t="s">
        <v>33</v>
      </c>
      <c r="H649" t="s">
        <v>43</v>
      </c>
      <c r="I649" t="s">
        <v>323</v>
      </c>
      <c r="J649" t="s">
        <v>326</v>
      </c>
      <c r="K649" t="s">
        <v>331</v>
      </c>
      <c r="L649" t="s">
        <v>340</v>
      </c>
      <c r="M649" t="s">
        <v>347</v>
      </c>
      <c r="N649" t="s">
        <v>351</v>
      </c>
      <c r="O649" t="s">
        <v>356</v>
      </c>
      <c r="P649" t="s">
        <v>361</v>
      </c>
      <c r="Q649">
        <v>454.82</v>
      </c>
      <c r="R649">
        <v>3</v>
      </c>
      <c r="S649">
        <v>-4.51</v>
      </c>
    </row>
    <row r="650" spans="1:19" x14ac:dyDescent="0.25">
      <c r="A650">
        <v>649</v>
      </c>
      <c r="B650" s="2">
        <v>43903</v>
      </c>
      <c r="C650">
        <v>2020</v>
      </c>
      <c r="D650" t="s">
        <v>24</v>
      </c>
      <c r="E650" s="2">
        <v>43910</v>
      </c>
      <c r="F650">
        <v>7</v>
      </c>
      <c r="G650" t="s">
        <v>33</v>
      </c>
      <c r="H650" t="s">
        <v>288</v>
      </c>
      <c r="I650" t="s">
        <v>323</v>
      </c>
      <c r="J650" t="s">
        <v>326</v>
      </c>
      <c r="K650" t="s">
        <v>329</v>
      </c>
      <c r="L650" t="s">
        <v>338</v>
      </c>
      <c r="M650" t="s">
        <v>345</v>
      </c>
      <c r="N650" t="s">
        <v>350</v>
      </c>
      <c r="O650" t="s">
        <v>354</v>
      </c>
      <c r="P650" t="s">
        <v>360</v>
      </c>
      <c r="Q650">
        <v>305.69</v>
      </c>
      <c r="R650">
        <v>5</v>
      </c>
      <c r="S650">
        <v>130.19999999999999</v>
      </c>
    </row>
    <row r="651" spans="1:19" x14ac:dyDescent="0.25">
      <c r="A651">
        <v>650</v>
      </c>
      <c r="B651" s="2">
        <v>44263</v>
      </c>
      <c r="C651">
        <v>2021</v>
      </c>
      <c r="D651" t="s">
        <v>24</v>
      </c>
      <c r="E651" s="2">
        <v>44273</v>
      </c>
      <c r="F651">
        <v>10</v>
      </c>
      <c r="G651" t="s">
        <v>33</v>
      </c>
      <c r="H651" t="s">
        <v>209</v>
      </c>
      <c r="I651" t="s">
        <v>325</v>
      </c>
      <c r="J651" t="s">
        <v>326</v>
      </c>
      <c r="K651" t="s">
        <v>329</v>
      </c>
      <c r="L651" t="s">
        <v>338</v>
      </c>
      <c r="M651" t="s">
        <v>345</v>
      </c>
      <c r="N651" t="s">
        <v>351</v>
      </c>
      <c r="O651" t="s">
        <v>355</v>
      </c>
      <c r="P651" t="s">
        <v>359</v>
      </c>
      <c r="Q651">
        <v>245.79</v>
      </c>
      <c r="R651">
        <v>2</v>
      </c>
      <c r="S651">
        <v>91.14</v>
      </c>
    </row>
    <row r="652" spans="1:19" x14ac:dyDescent="0.25">
      <c r="A652">
        <v>651</v>
      </c>
      <c r="B652" s="2">
        <v>45361</v>
      </c>
      <c r="C652">
        <v>2024</v>
      </c>
      <c r="D652" t="s">
        <v>24</v>
      </c>
      <c r="E652" s="2">
        <v>45369</v>
      </c>
      <c r="F652">
        <v>8</v>
      </c>
      <c r="G652" t="s">
        <v>34</v>
      </c>
      <c r="H652" t="s">
        <v>300</v>
      </c>
      <c r="I652" t="s">
        <v>323</v>
      </c>
      <c r="J652" t="s">
        <v>326</v>
      </c>
      <c r="K652" t="s">
        <v>333</v>
      </c>
      <c r="L652" t="s">
        <v>342</v>
      </c>
      <c r="M652" t="s">
        <v>345</v>
      </c>
      <c r="N652" t="s">
        <v>352</v>
      </c>
      <c r="O652" t="s">
        <v>358</v>
      </c>
      <c r="P652" t="s">
        <v>359</v>
      </c>
      <c r="Q652">
        <v>80.06</v>
      </c>
      <c r="R652">
        <v>2</v>
      </c>
      <c r="S652">
        <v>-20.6</v>
      </c>
    </row>
    <row r="653" spans="1:19" x14ac:dyDescent="0.25">
      <c r="A653">
        <v>652</v>
      </c>
      <c r="B653" s="2">
        <v>44082</v>
      </c>
      <c r="C653">
        <v>2020</v>
      </c>
      <c r="D653" t="s">
        <v>25</v>
      </c>
      <c r="E653" s="2">
        <v>44086</v>
      </c>
      <c r="F653">
        <v>4</v>
      </c>
      <c r="G653" t="s">
        <v>34</v>
      </c>
      <c r="H653" t="s">
        <v>227</v>
      </c>
      <c r="I653" t="s">
        <v>325</v>
      </c>
      <c r="J653" t="s">
        <v>326</v>
      </c>
      <c r="K653" t="s">
        <v>331</v>
      </c>
      <c r="L653" t="s">
        <v>340</v>
      </c>
      <c r="M653" t="s">
        <v>347</v>
      </c>
      <c r="N653" t="s">
        <v>351</v>
      </c>
      <c r="O653" t="s">
        <v>356</v>
      </c>
      <c r="P653" t="s">
        <v>362</v>
      </c>
      <c r="Q653">
        <v>283.11</v>
      </c>
      <c r="R653">
        <v>3</v>
      </c>
      <c r="S653">
        <v>71.13</v>
      </c>
    </row>
    <row r="654" spans="1:19" x14ac:dyDescent="0.25">
      <c r="A654">
        <v>653</v>
      </c>
      <c r="B654" s="2">
        <v>44332</v>
      </c>
      <c r="C654">
        <v>2021</v>
      </c>
      <c r="D654" t="s">
        <v>19</v>
      </c>
      <c r="E654" s="2">
        <v>44339</v>
      </c>
      <c r="F654">
        <v>7</v>
      </c>
      <c r="G654" t="s">
        <v>33</v>
      </c>
      <c r="H654" t="s">
        <v>83</v>
      </c>
      <c r="I654" t="s">
        <v>325</v>
      </c>
      <c r="J654" t="s">
        <v>327</v>
      </c>
      <c r="K654" t="s">
        <v>334</v>
      </c>
      <c r="L654" t="s">
        <v>334</v>
      </c>
      <c r="M654" t="s">
        <v>349</v>
      </c>
      <c r="N654" t="s">
        <v>352</v>
      </c>
      <c r="O654" t="s">
        <v>358</v>
      </c>
      <c r="P654" t="s">
        <v>359</v>
      </c>
      <c r="Q654">
        <v>197.04</v>
      </c>
      <c r="R654">
        <v>8</v>
      </c>
      <c r="S654">
        <v>8.61</v>
      </c>
    </row>
    <row r="655" spans="1:19" x14ac:dyDescent="0.25">
      <c r="A655">
        <v>654</v>
      </c>
      <c r="B655" s="2">
        <v>44741</v>
      </c>
      <c r="C655">
        <v>2022</v>
      </c>
      <c r="D655" t="s">
        <v>21</v>
      </c>
      <c r="E655" s="2">
        <v>44747</v>
      </c>
      <c r="F655">
        <v>6</v>
      </c>
      <c r="G655" t="s">
        <v>31</v>
      </c>
      <c r="H655" t="s">
        <v>195</v>
      </c>
      <c r="I655" t="s">
        <v>324</v>
      </c>
      <c r="J655" t="s">
        <v>327</v>
      </c>
      <c r="K655" t="s">
        <v>337</v>
      </c>
      <c r="L655" t="s">
        <v>344</v>
      </c>
      <c r="M655" t="s">
        <v>347</v>
      </c>
      <c r="N655" t="s">
        <v>352</v>
      </c>
      <c r="O655" t="s">
        <v>357</v>
      </c>
      <c r="P655" t="s">
        <v>362</v>
      </c>
      <c r="Q655">
        <v>137.15</v>
      </c>
      <c r="R655">
        <v>1</v>
      </c>
      <c r="S655">
        <v>60.38</v>
      </c>
    </row>
    <row r="656" spans="1:19" x14ac:dyDescent="0.25">
      <c r="A656">
        <v>655</v>
      </c>
      <c r="B656" s="2">
        <v>45232</v>
      </c>
      <c r="C656">
        <v>2023</v>
      </c>
      <c r="D656" t="s">
        <v>30</v>
      </c>
      <c r="E656" s="2">
        <v>45235</v>
      </c>
      <c r="F656">
        <v>3</v>
      </c>
      <c r="G656" t="s">
        <v>32</v>
      </c>
      <c r="H656" t="s">
        <v>45</v>
      </c>
      <c r="I656" t="s">
        <v>324</v>
      </c>
      <c r="J656" t="s">
        <v>327</v>
      </c>
      <c r="K656" t="s">
        <v>337</v>
      </c>
      <c r="L656" t="s">
        <v>344</v>
      </c>
      <c r="M656" t="s">
        <v>347</v>
      </c>
      <c r="N656" t="s">
        <v>351</v>
      </c>
      <c r="O656" t="s">
        <v>355</v>
      </c>
      <c r="P656" t="s">
        <v>362</v>
      </c>
      <c r="Q656">
        <v>150.86000000000001</v>
      </c>
      <c r="R656">
        <v>4</v>
      </c>
      <c r="S656">
        <v>13.01</v>
      </c>
    </row>
    <row r="657" spans="1:19" x14ac:dyDescent="0.25">
      <c r="A657">
        <v>656</v>
      </c>
      <c r="B657" s="2">
        <v>45861</v>
      </c>
      <c r="C657">
        <v>2025</v>
      </c>
      <c r="D657" t="s">
        <v>20</v>
      </c>
      <c r="E657" s="2">
        <v>45863</v>
      </c>
      <c r="F657">
        <v>2</v>
      </c>
      <c r="G657" t="s">
        <v>32</v>
      </c>
      <c r="H657" t="s">
        <v>97</v>
      </c>
      <c r="I657" t="s">
        <v>324</v>
      </c>
      <c r="J657" t="s">
        <v>326</v>
      </c>
      <c r="K657" t="s">
        <v>329</v>
      </c>
      <c r="L657" t="s">
        <v>338</v>
      </c>
      <c r="M657" t="s">
        <v>345</v>
      </c>
      <c r="N657" t="s">
        <v>352</v>
      </c>
      <c r="O657" t="s">
        <v>357</v>
      </c>
      <c r="P657" t="s">
        <v>361</v>
      </c>
      <c r="Q657">
        <v>147.97999999999999</v>
      </c>
      <c r="R657">
        <v>6</v>
      </c>
      <c r="S657">
        <v>-28.13</v>
      </c>
    </row>
    <row r="658" spans="1:19" x14ac:dyDescent="0.25">
      <c r="A658">
        <v>657</v>
      </c>
      <c r="B658" s="2">
        <v>45085</v>
      </c>
      <c r="C658">
        <v>2023</v>
      </c>
      <c r="D658" t="s">
        <v>21</v>
      </c>
      <c r="E658" s="2">
        <v>45087</v>
      </c>
      <c r="F658">
        <v>2</v>
      </c>
      <c r="G658" t="s">
        <v>31</v>
      </c>
      <c r="H658" t="s">
        <v>169</v>
      </c>
      <c r="I658" t="s">
        <v>325</v>
      </c>
      <c r="J658" t="s">
        <v>328</v>
      </c>
      <c r="K658" t="s">
        <v>335</v>
      </c>
      <c r="L658" t="s">
        <v>335</v>
      </c>
      <c r="M658" t="s">
        <v>345</v>
      </c>
      <c r="N658" t="s">
        <v>352</v>
      </c>
      <c r="O658" t="s">
        <v>358</v>
      </c>
      <c r="P658" t="s">
        <v>360</v>
      </c>
      <c r="Q658">
        <v>183.91</v>
      </c>
      <c r="R658">
        <v>2</v>
      </c>
      <c r="S658">
        <v>10.85</v>
      </c>
    </row>
    <row r="659" spans="1:19" x14ac:dyDescent="0.25">
      <c r="A659">
        <v>658</v>
      </c>
      <c r="B659" s="2">
        <v>44993</v>
      </c>
      <c r="C659">
        <v>2023</v>
      </c>
      <c r="D659" t="s">
        <v>24</v>
      </c>
      <c r="E659" s="2">
        <v>44994</v>
      </c>
      <c r="F659">
        <v>1</v>
      </c>
      <c r="G659" t="s">
        <v>31</v>
      </c>
      <c r="H659" t="s">
        <v>262</v>
      </c>
      <c r="I659" t="s">
        <v>323</v>
      </c>
      <c r="J659" t="s">
        <v>326</v>
      </c>
      <c r="K659" t="s">
        <v>333</v>
      </c>
      <c r="L659" t="s">
        <v>342</v>
      </c>
      <c r="M659" t="s">
        <v>345</v>
      </c>
      <c r="N659" t="s">
        <v>350</v>
      </c>
      <c r="O659" t="s">
        <v>353</v>
      </c>
      <c r="P659" t="s">
        <v>362</v>
      </c>
      <c r="Q659">
        <v>242.78</v>
      </c>
      <c r="R659">
        <v>2</v>
      </c>
      <c r="S659">
        <v>24.54</v>
      </c>
    </row>
    <row r="660" spans="1:19" x14ac:dyDescent="0.25">
      <c r="A660">
        <v>659</v>
      </c>
      <c r="B660" s="2">
        <v>45360</v>
      </c>
      <c r="C660">
        <v>2024</v>
      </c>
      <c r="D660" t="s">
        <v>24</v>
      </c>
      <c r="E660" s="2">
        <v>45369</v>
      </c>
      <c r="F660">
        <v>9</v>
      </c>
      <c r="G660" t="s">
        <v>34</v>
      </c>
      <c r="H660" t="s">
        <v>301</v>
      </c>
      <c r="I660" t="s">
        <v>323</v>
      </c>
      <c r="J660" t="s">
        <v>327</v>
      </c>
      <c r="K660" t="s">
        <v>337</v>
      </c>
      <c r="L660" t="s">
        <v>344</v>
      </c>
      <c r="M660" t="s">
        <v>347</v>
      </c>
      <c r="N660" t="s">
        <v>351</v>
      </c>
      <c r="O660" t="s">
        <v>356</v>
      </c>
      <c r="P660" t="s">
        <v>361</v>
      </c>
      <c r="Q660">
        <v>146.88999999999999</v>
      </c>
      <c r="R660">
        <v>10</v>
      </c>
      <c r="S660">
        <v>37.49</v>
      </c>
    </row>
    <row r="661" spans="1:19" x14ac:dyDescent="0.25">
      <c r="A661">
        <v>660</v>
      </c>
      <c r="B661" s="2">
        <v>45132</v>
      </c>
      <c r="C661">
        <v>2023</v>
      </c>
      <c r="D661" t="s">
        <v>20</v>
      </c>
      <c r="E661" s="2">
        <v>45133</v>
      </c>
      <c r="F661">
        <v>1</v>
      </c>
      <c r="G661" t="s">
        <v>33</v>
      </c>
      <c r="H661" t="s">
        <v>260</v>
      </c>
      <c r="I661" t="s">
        <v>323</v>
      </c>
      <c r="J661" t="s">
        <v>328</v>
      </c>
      <c r="K661" t="s">
        <v>335</v>
      </c>
      <c r="L661" t="s">
        <v>335</v>
      </c>
      <c r="M661" t="s">
        <v>345</v>
      </c>
      <c r="N661" t="s">
        <v>350</v>
      </c>
      <c r="O661" t="s">
        <v>353</v>
      </c>
      <c r="P661" t="s">
        <v>362</v>
      </c>
      <c r="Q661">
        <v>171.81</v>
      </c>
      <c r="R661">
        <v>8</v>
      </c>
      <c r="S661">
        <v>84.81</v>
      </c>
    </row>
    <row r="662" spans="1:19" x14ac:dyDescent="0.25">
      <c r="A662">
        <v>661</v>
      </c>
      <c r="B662" s="2">
        <v>45875</v>
      </c>
      <c r="C662">
        <v>2025</v>
      </c>
      <c r="D662" t="s">
        <v>27</v>
      </c>
      <c r="E662" s="2">
        <v>45879</v>
      </c>
      <c r="F662">
        <v>4</v>
      </c>
      <c r="G662" t="s">
        <v>31</v>
      </c>
      <c r="H662" t="s">
        <v>136</v>
      </c>
      <c r="I662" t="s">
        <v>325</v>
      </c>
      <c r="J662" t="s">
        <v>328</v>
      </c>
      <c r="K662" t="s">
        <v>336</v>
      </c>
      <c r="L662" t="s">
        <v>343</v>
      </c>
      <c r="M662" t="s">
        <v>347</v>
      </c>
      <c r="N662" t="s">
        <v>351</v>
      </c>
      <c r="O662" t="s">
        <v>355</v>
      </c>
      <c r="P662" t="s">
        <v>362</v>
      </c>
      <c r="Q662">
        <v>458.42</v>
      </c>
      <c r="R662">
        <v>2</v>
      </c>
      <c r="S662">
        <v>89.06</v>
      </c>
    </row>
    <row r="663" spans="1:19" x14ac:dyDescent="0.25">
      <c r="A663">
        <v>662</v>
      </c>
      <c r="B663" s="2">
        <v>44530</v>
      </c>
      <c r="C663">
        <v>2021</v>
      </c>
      <c r="D663" t="s">
        <v>30</v>
      </c>
      <c r="E663" s="2">
        <v>44539</v>
      </c>
      <c r="F663">
        <v>9</v>
      </c>
      <c r="G663" t="s">
        <v>34</v>
      </c>
      <c r="H663" t="s">
        <v>179</v>
      </c>
      <c r="I663" t="s">
        <v>325</v>
      </c>
      <c r="J663" t="s">
        <v>326</v>
      </c>
      <c r="K663" t="s">
        <v>333</v>
      </c>
      <c r="L663" t="s">
        <v>342</v>
      </c>
      <c r="M663" t="s">
        <v>345</v>
      </c>
      <c r="N663" t="s">
        <v>350</v>
      </c>
      <c r="O663" t="s">
        <v>354</v>
      </c>
      <c r="P663" t="s">
        <v>362</v>
      </c>
      <c r="Q663">
        <v>206.02</v>
      </c>
      <c r="R663">
        <v>6</v>
      </c>
      <c r="S663">
        <v>91.53</v>
      </c>
    </row>
    <row r="664" spans="1:19" x14ac:dyDescent="0.25">
      <c r="A664">
        <v>663</v>
      </c>
      <c r="B664" s="2">
        <v>44301</v>
      </c>
      <c r="C664">
        <v>2021</v>
      </c>
      <c r="D664" t="s">
        <v>26</v>
      </c>
      <c r="E664" s="2">
        <v>44302</v>
      </c>
      <c r="F664">
        <v>1</v>
      </c>
      <c r="G664" t="s">
        <v>31</v>
      </c>
      <c r="H664" t="s">
        <v>190</v>
      </c>
      <c r="I664" t="s">
        <v>324</v>
      </c>
      <c r="J664" t="s">
        <v>328</v>
      </c>
      <c r="K664" t="s">
        <v>335</v>
      </c>
      <c r="L664" t="s">
        <v>335</v>
      </c>
      <c r="M664" t="s">
        <v>345</v>
      </c>
      <c r="N664" t="s">
        <v>350</v>
      </c>
      <c r="O664" t="s">
        <v>353</v>
      </c>
      <c r="P664" t="s">
        <v>361</v>
      </c>
      <c r="Q664">
        <v>20.059999999999999</v>
      </c>
      <c r="R664">
        <v>7</v>
      </c>
      <c r="S664">
        <v>6.03</v>
      </c>
    </row>
    <row r="665" spans="1:19" x14ac:dyDescent="0.25">
      <c r="A665">
        <v>664</v>
      </c>
      <c r="B665" s="2">
        <v>45952</v>
      </c>
      <c r="C665">
        <v>2025</v>
      </c>
      <c r="D665" t="s">
        <v>22</v>
      </c>
      <c r="E665" s="2">
        <v>45958</v>
      </c>
      <c r="F665">
        <v>6</v>
      </c>
      <c r="G665" t="s">
        <v>33</v>
      </c>
      <c r="H665" t="s">
        <v>135</v>
      </c>
      <c r="I665" t="s">
        <v>324</v>
      </c>
      <c r="J665" t="s">
        <v>328</v>
      </c>
      <c r="K665" t="s">
        <v>332</v>
      </c>
      <c r="L665" t="s">
        <v>341</v>
      </c>
      <c r="M665" t="s">
        <v>348</v>
      </c>
      <c r="N665" t="s">
        <v>352</v>
      </c>
      <c r="O665" t="s">
        <v>358</v>
      </c>
      <c r="P665" t="s">
        <v>362</v>
      </c>
      <c r="Q665">
        <v>432.08</v>
      </c>
      <c r="R665">
        <v>8</v>
      </c>
      <c r="S665">
        <v>-107.29</v>
      </c>
    </row>
    <row r="666" spans="1:19" x14ac:dyDescent="0.25">
      <c r="A666">
        <v>665</v>
      </c>
      <c r="B666" s="2">
        <v>44767</v>
      </c>
      <c r="C666">
        <v>2022</v>
      </c>
      <c r="D666" t="s">
        <v>20</v>
      </c>
      <c r="E666" s="2">
        <v>44770</v>
      </c>
      <c r="F666">
        <v>3</v>
      </c>
      <c r="G666" t="s">
        <v>33</v>
      </c>
      <c r="H666" t="s">
        <v>288</v>
      </c>
      <c r="I666" t="s">
        <v>323</v>
      </c>
      <c r="J666" t="s">
        <v>326</v>
      </c>
      <c r="K666" t="s">
        <v>331</v>
      </c>
      <c r="L666" t="s">
        <v>340</v>
      </c>
      <c r="M666" t="s">
        <v>347</v>
      </c>
      <c r="N666" t="s">
        <v>351</v>
      </c>
      <c r="O666" t="s">
        <v>355</v>
      </c>
      <c r="P666" t="s">
        <v>361</v>
      </c>
      <c r="Q666">
        <v>247.53</v>
      </c>
      <c r="R666">
        <v>10</v>
      </c>
      <c r="S666">
        <v>115.1</v>
      </c>
    </row>
    <row r="667" spans="1:19" x14ac:dyDescent="0.25">
      <c r="A667">
        <v>666</v>
      </c>
      <c r="B667" s="2">
        <v>43950</v>
      </c>
      <c r="C667">
        <v>2020</v>
      </c>
      <c r="D667" t="s">
        <v>26</v>
      </c>
      <c r="E667" s="2">
        <v>43954</v>
      </c>
      <c r="F667">
        <v>4</v>
      </c>
      <c r="G667" t="s">
        <v>34</v>
      </c>
      <c r="H667" t="s">
        <v>287</v>
      </c>
      <c r="I667" t="s">
        <v>325</v>
      </c>
      <c r="J667" t="s">
        <v>328</v>
      </c>
      <c r="K667" t="s">
        <v>335</v>
      </c>
      <c r="L667" t="s">
        <v>335</v>
      </c>
      <c r="M667" t="s">
        <v>345</v>
      </c>
      <c r="N667" t="s">
        <v>352</v>
      </c>
      <c r="O667" t="s">
        <v>358</v>
      </c>
      <c r="P667" t="s">
        <v>360</v>
      </c>
      <c r="Q667">
        <v>325.08</v>
      </c>
      <c r="R667">
        <v>8</v>
      </c>
      <c r="S667">
        <v>89.66</v>
      </c>
    </row>
    <row r="668" spans="1:19" x14ac:dyDescent="0.25">
      <c r="A668">
        <v>667</v>
      </c>
      <c r="B668" s="2">
        <v>43886</v>
      </c>
      <c r="C668">
        <v>2020</v>
      </c>
      <c r="D668" t="s">
        <v>28</v>
      </c>
      <c r="E668" s="2">
        <v>43895</v>
      </c>
      <c r="F668">
        <v>9</v>
      </c>
      <c r="G668" t="s">
        <v>31</v>
      </c>
      <c r="H668" t="s">
        <v>302</v>
      </c>
      <c r="I668" t="s">
        <v>323</v>
      </c>
      <c r="J668" t="s">
        <v>327</v>
      </c>
      <c r="K668" t="s">
        <v>330</v>
      </c>
      <c r="L668" t="s">
        <v>339</v>
      </c>
      <c r="M668" t="s">
        <v>346</v>
      </c>
      <c r="N668" t="s">
        <v>351</v>
      </c>
      <c r="O668" t="s">
        <v>355</v>
      </c>
      <c r="P668" t="s">
        <v>362</v>
      </c>
      <c r="Q668">
        <v>137.13999999999999</v>
      </c>
      <c r="R668">
        <v>10</v>
      </c>
      <c r="S668">
        <v>18.87</v>
      </c>
    </row>
    <row r="669" spans="1:19" x14ac:dyDescent="0.25">
      <c r="A669">
        <v>668</v>
      </c>
      <c r="B669" s="2">
        <v>45169</v>
      </c>
      <c r="C669">
        <v>2023</v>
      </c>
      <c r="D669" t="s">
        <v>27</v>
      </c>
      <c r="E669" s="2">
        <v>45177</v>
      </c>
      <c r="F669">
        <v>8</v>
      </c>
      <c r="G669" t="s">
        <v>34</v>
      </c>
      <c r="H669" t="s">
        <v>219</v>
      </c>
      <c r="I669" t="s">
        <v>324</v>
      </c>
      <c r="J669" t="s">
        <v>327</v>
      </c>
      <c r="K669" t="s">
        <v>334</v>
      </c>
      <c r="L669" t="s">
        <v>334</v>
      </c>
      <c r="M669" t="s">
        <v>349</v>
      </c>
      <c r="N669" t="s">
        <v>351</v>
      </c>
      <c r="O669" t="s">
        <v>355</v>
      </c>
      <c r="P669" t="s">
        <v>360</v>
      </c>
      <c r="Q669">
        <v>47.58</v>
      </c>
      <c r="R669">
        <v>9</v>
      </c>
      <c r="S669">
        <v>-6.4</v>
      </c>
    </row>
    <row r="670" spans="1:19" x14ac:dyDescent="0.25">
      <c r="A670">
        <v>669</v>
      </c>
      <c r="B670" s="2">
        <v>44794</v>
      </c>
      <c r="C670">
        <v>2022</v>
      </c>
      <c r="D670" t="s">
        <v>27</v>
      </c>
      <c r="E670" s="2">
        <v>44801</v>
      </c>
      <c r="F670">
        <v>7</v>
      </c>
      <c r="G670" t="s">
        <v>31</v>
      </c>
      <c r="H670" t="s">
        <v>217</v>
      </c>
      <c r="I670" t="s">
        <v>323</v>
      </c>
      <c r="J670" t="s">
        <v>328</v>
      </c>
      <c r="K670" t="s">
        <v>332</v>
      </c>
      <c r="L670" t="s">
        <v>341</v>
      </c>
      <c r="M670" t="s">
        <v>348</v>
      </c>
      <c r="N670" t="s">
        <v>352</v>
      </c>
      <c r="O670" t="s">
        <v>357</v>
      </c>
      <c r="P670" t="s">
        <v>362</v>
      </c>
      <c r="Q670">
        <v>126.24</v>
      </c>
      <c r="R670">
        <v>9</v>
      </c>
      <c r="S670">
        <v>-16.239999999999998</v>
      </c>
    </row>
    <row r="671" spans="1:19" x14ac:dyDescent="0.25">
      <c r="A671">
        <v>670</v>
      </c>
      <c r="B671" s="2">
        <v>44016</v>
      </c>
      <c r="C671">
        <v>2020</v>
      </c>
      <c r="D671" t="s">
        <v>20</v>
      </c>
      <c r="E671" s="2">
        <v>44021</v>
      </c>
      <c r="F671">
        <v>5</v>
      </c>
      <c r="G671" t="s">
        <v>32</v>
      </c>
      <c r="H671" t="s">
        <v>112</v>
      </c>
      <c r="I671" t="s">
        <v>325</v>
      </c>
      <c r="J671" t="s">
        <v>328</v>
      </c>
      <c r="K671" t="s">
        <v>332</v>
      </c>
      <c r="L671" t="s">
        <v>341</v>
      </c>
      <c r="M671" t="s">
        <v>348</v>
      </c>
      <c r="N671" t="s">
        <v>350</v>
      </c>
      <c r="O671" t="s">
        <v>354</v>
      </c>
      <c r="P671" t="s">
        <v>361</v>
      </c>
      <c r="Q671">
        <v>181</v>
      </c>
      <c r="R671">
        <v>3</v>
      </c>
      <c r="S671">
        <v>8.57</v>
      </c>
    </row>
    <row r="672" spans="1:19" x14ac:dyDescent="0.25">
      <c r="A672">
        <v>671</v>
      </c>
      <c r="B672" s="2">
        <v>45764</v>
      </c>
      <c r="C672">
        <v>2025</v>
      </c>
      <c r="D672" t="s">
        <v>26</v>
      </c>
      <c r="E672" s="2">
        <v>45774</v>
      </c>
      <c r="F672">
        <v>10</v>
      </c>
      <c r="G672" t="s">
        <v>33</v>
      </c>
      <c r="H672" t="s">
        <v>276</v>
      </c>
      <c r="I672" t="s">
        <v>324</v>
      </c>
      <c r="J672" t="s">
        <v>328</v>
      </c>
      <c r="K672" t="s">
        <v>332</v>
      </c>
      <c r="L672" t="s">
        <v>341</v>
      </c>
      <c r="M672" t="s">
        <v>348</v>
      </c>
      <c r="N672" t="s">
        <v>351</v>
      </c>
      <c r="O672" t="s">
        <v>355</v>
      </c>
      <c r="P672" t="s">
        <v>362</v>
      </c>
      <c r="Q672">
        <v>406.75</v>
      </c>
      <c r="R672">
        <v>8</v>
      </c>
      <c r="S672">
        <v>110.79</v>
      </c>
    </row>
    <row r="673" spans="1:19" x14ac:dyDescent="0.25">
      <c r="A673">
        <v>672</v>
      </c>
      <c r="B673" s="2">
        <v>44722</v>
      </c>
      <c r="C673">
        <v>2022</v>
      </c>
      <c r="D673" t="s">
        <v>21</v>
      </c>
      <c r="E673" s="2">
        <v>44727</v>
      </c>
      <c r="F673">
        <v>5</v>
      </c>
      <c r="G673" t="s">
        <v>34</v>
      </c>
      <c r="H673" t="s">
        <v>153</v>
      </c>
      <c r="I673" t="s">
        <v>324</v>
      </c>
      <c r="J673" t="s">
        <v>327</v>
      </c>
      <c r="K673" t="s">
        <v>330</v>
      </c>
      <c r="L673" t="s">
        <v>339</v>
      </c>
      <c r="M673" t="s">
        <v>346</v>
      </c>
      <c r="N673" t="s">
        <v>350</v>
      </c>
      <c r="O673" t="s">
        <v>353</v>
      </c>
      <c r="P673" t="s">
        <v>360</v>
      </c>
      <c r="Q673">
        <v>453.38</v>
      </c>
      <c r="R673">
        <v>3</v>
      </c>
      <c r="S673">
        <v>-76.66</v>
      </c>
    </row>
    <row r="674" spans="1:19" x14ac:dyDescent="0.25">
      <c r="A674">
        <v>673</v>
      </c>
      <c r="B674" s="2">
        <v>45884</v>
      </c>
      <c r="C674">
        <v>2025</v>
      </c>
      <c r="D674" t="s">
        <v>27</v>
      </c>
      <c r="E674" s="2">
        <v>45889</v>
      </c>
      <c r="F674">
        <v>5</v>
      </c>
      <c r="G674" t="s">
        <v>31</v>
      </c>
      <c r="H674" t="s">
        <v>248</v>
      </c>
      <c r="I674" t="s">
        <v>324</v>
      </c>
      <c r="J674" t="s">
        <v>326</v>
      </c>
      <c r="K674" t="s">
        <v>329</v>
      </c>
      <c r="L674" t="s">
        <v>338</v>
      </c>
      <c r="M674" t="s">
        <v>345</v>
      </c>
      <c r="N674" t="s">
        <v>351</v>
      </c>
      <c r="O674" t="s">
        <v>356</v>
      </c>
      <c r="P674" t="s">
        <v>360</v>
      </c>
      <c r="Q674">
        <v>213.21</v>
      </c>
      <c r="R674">
        <v>1</v>
      </c>
      <c r="S674">
        <v>-33.72</v>
      </c>
    </row>
    <row r="675" spans="1:19" x14ac:dyDescent="0.25">
      <c r="A675">
        <v>674</v>
      </c>
      <c r="B675" s="2">
        <v>45817</v>
      </c>
      <c r="C675">
        <v>2025</v>
      </c>
      <c r="D675" t="s">
        <v>21</v>
      </c>
      <c r="E675" s="2">
        <v>45818</v>
      </c>
      <c r="F675">
        <v>1</v>
      </c>
      <c r="G675" t="s">
        <v>31</v>
      </c>
      <c r="H675" t="s">
        <v>84</v>
      </c>
      <c r="I675" t="s">
        <v>325</v>
      </c>
      <c r="J675" t="s">
        <v>327</v>
      </c>
      <c r="K675" t="s">
        <v>337</v>
      </c>
      <c r="L675" t="s">
        <v>344</v>
      </c>
      <c r="M675" t="s">
        <v>347</v>
      </c>
      <c r="N675" t="s">
        <v>352</v>
      </c>
      <c r="O675" t="s">
        <v>358</v>
      </c>
      <c r="P675" t="s">
        <v>360</v>
      </c>
      <c r="Q675">
        <v>233.15</v>
      </c>
      <c r="R675">
        <v>9</v>
      </c>
      <c r="S675">
        <v>94.27</v>
      </c>
    </row>
    <row r="676" spans="1:19" x14ac:dyDescent="0.25">
      <c r="A676">
        <v>675</v>
      </c>
      <c r="B676" s="2">
        <v>45790</v>
      </c>
      <c r="C676">
        <v>2025</v>
      </c>
      <c r="D676" t="s">
        <v>19</v>
      </c>
      <c r="E676" s="2">
        <v>45797</v>
      </c>
      <c r="F676">
        <v>7</v>
      </c>
      <c r="G676" t="s">
        <v>34</v>
      </c>
      <c r="H676" t="s">
        <v>252</v>
      </c>
      <c r="I676" t="s">
        <v>324</v>
      </c>
      <c r="J676" t="s">
        <v>328</v>
      </c>
      <c r="K676" t="s">
        <v>336</v>
      </c>
      <c r="L676" t="s">
        <v>343</v>
      </c>
      <c r="M676" t="s">
        <v>347</v>
      </c>
      <c r="N676" t="s">
        <v>350</v>
      </c>
      <c r="O676" t="s">
        <v>353</v>
      </c>
      <c r="P676" t="s">
        <v>360</v>
      </c>
      <c r="Q676">
        <v>49.08</v>
      </c>
      <c r="R676">
        <v>8</v>
      </c>
      <c r="S676">
        <v>22.9</v>
      </c>
    </row>
    <row r="677" spans="1:19" x14ac:dyDescent="0.25">
      <c r="A677">
        <v>676</v>
      </c>
      <c r="B677" s="2">
        <v>45179</v>
      </c>
      <c r="C677">
        <v>2023</v>
      </c>
      <c r="D677" t="s">
        <v>25</v>
      </c>
      <c r="E677" s="2">
        <v>45182</v>
      </c>
      <c r="F677">
        <v>3</v>
      </c>
      <c r="G677" t="s">
        <v>34</v>
      </c>
      <c r="H677" t="s">
        <v>163</v>
      </c>
      <c r="I677" t="s">
        <v>323</v>
      </c>
      <c r="J677" t="s">
        <v>326</v>
      </c>
      <c r="K677" t="s">
        <v>333</v>
      </c>
      <c r="L677" t="s">
        <v>342</v>
      </c>
      <c r="M677" t="s">
        <v>345</v>
      </c>
      <c r="N677" t="s">
        <v>350</v>
      </c>
      <c r="O677" t="s">
        <v>354</v>
      </c>
      <c r="P677" t="s">
        <v>360</v>
      </c>
      <c r="Q677">
        <v>453.65</v>
      </c>
      <c r="R677">
        <v>8</v>
      </c>
      <c r="S677">
        <v>-6.34</v>
      </c>
    </row>
    <row r="678" spans="1:19" x14ac:dyDescent="0.25">
      <c r="A678">
        <v>677</v>
      </c>
      <c r="B678" s="2">
        <v>44992</v>
      </c>
      <c r="C678">
        <v>2023</v>
      </c>
      <c r="D678" t="s">
        <v>24</v>
      </c>
      <c r="E678" s="2">
        <v>44995</v>
      </c>
      <c r="F678">
        <v>3</v>
      </c>
      <c r="G678" t="s">
        <v>34</v>
      </c>
      <c r="H678" t="s">
        <v>142</v>
      </c>
      <c r="I678" t="s">
        <v>323</v>
      </c>
      <c r="J678" t="s">
        <v>326</v>
      </c>
      <c r="K678" t="s">
        <v>333</v>
      </c>
      <c r="L678" t="s">
        <v>342</v>
      </c>
      <c r="M678" t="s">
        <v>345</v>
      </c>
      <c r="N678" t="s">
        <v>350</v>
      </c>
      <c r="O678" t="s">
        <v>354</v>
      </c>
      <c r="P678" t="s">
        <v>360</v>
      </c>
      <c r="Q678">
        <v>423.86</v>
      </c>
      <c r="R678">
        <v>10</v>
      </c>
      <c r="S678">
        <v>-81.62</v>
      </c>
    </row>
    <row r="679" spans="1:19" x14ac:dyDescent="0.25">
      <c r="A679">
        <v>678</v>
      </c>
      <c r="B679" s="2">
        <v>45212</v>
      </c>
      <c r="C679">
        <v>2023</v>
      </c>
      <c r="D679" t="s">
        <v>22</v>
      </c>
      <c r="E679" s="2">
        <v>45218</v>
      </c>
      <c r="F679">
        <v>6</v>
      </c>
      <c r="G679" t="s">
        <v>33</v>
      </c>
      <c r="H679" t="s">
        <v>281</v>
      </c>
      <c r="I679" t="s">
        <v>323</v>
      </c>
      <c r="J679" t="s">
        <v>327</v>
      </c>
      <c r="K679" t="s">
        <v>334</v>
      </c>
      <c r="L679" t="s">
        <v>334</v>
      </c>
      <c r="M679" t="s">
        <v>349</v>
      </c>
      <c r="N679" t="s">
        <v>352</v>
      </c>
      <c r="O679" t="s">
        <v>358</v>
      </c>
      <c r="P679" t="s">
        <v>362</v>
      </c>
      <c r="Q679">
        <v>192.98</v>
      </c>
      <c r="R679">
        <v>10</v>
      </c>
      <c r="S679">
        <v>-38.79</v>
      </c>
    </row>
    <row r="680" spans="1:19" x14ac:dyDescent="0.25">
      <c r="A680">
        <v>679</v>
      </c>
      <c r="B680" s="2">
        <v>44666</v>
      </c>
      <c r="C680">
        <v>2022</v>
      </c>
      <c r="D680" t="s">
        <v>26</v>
      </c>
      <c r="E680" s="2">
        <v>44676</v>
      </c>
      <c r="F680">
        <v>10</v>
      </c>
      <c r="G680" t="s">
        <v>31</v>
      </c>
      <c r="H680" t="s">
        <v>88</v>
      </c>
      <c r="I680" t="s">
        <v>324</v>
      </c>
      <c r="J680" t="s">
        <v>327</v>
      </c>
      <c r="K680" t="s">
        <v>337</v>
      </c>
      <c r="L680" t="s">
        <v>344</v>
      </c>
      <c r="M680" t="s">
        <v>347</v>
      </c>
      <c r="N680" t="s">
        <v>351</v>
      </c>
      <c r="O680" t="s">
        <v>355</v>
      </c>
      <c r="P680" t="s">
        <v>362</v>
      </c>
      <c r="Q680">
        <v>73.02</v>
      </c>
      <c r="R680">
        <v>4</v>
      </c>
      <c r="S680">
        <v>14.2</v>
      </c>
    </row>
    <row r="681" spans="1:19" x14ac:dyDescent="0.25">
      <c r="A681">
        <v>680</v>
      </c>
      <c r="B681" s="2">
        <v>44251</v>
      </c>
      <c r="C681">
        <v>2021</v>
      </c>
      <c r="D681" t="s">
        <v>28</v>
      </c>
      <c r="E681" s="2">
        <v>44258</v>
      </c>
      <c r="F681">
        <v>7</v>
      </c>
      <c r="G681" t="s">
        <v>32</v>
      </c>
      <c r="H681" t="s">
        <v>218</v>
      </c>
      <c r="I681" t="s">
        <v>325</v>
      </c>
      <c r="J681" t="s">
        <v>328</v>
      </c>
      <c r="K681" t="s">
        <v>336</v>
      </c>
      <c r="L681" t="s">
        <v>343</v>
      </c>
      <c r="M681" t="s">
        <v>347</v>
      </c>
      <c r="N681" t="s">
        <v>350</v>
      </c>
      <c r="O681" t="s">
        <v>354</v>
      </c>
      <c r="P681" t="s">
        <v>359</v>
      </c>
      <c r="Q681">
        <v>478.1</v>
      </c>
      <c r="R681">
        <v>9</v>
      </c>
      <c r="S681">
        <v>-67.63</v>
      </c>
    </row>
    <row r="682" spans="1:19" x14ac:dyDescent="0.25">
      <c r="A682">
        <v>681</v>
      </c>
      <c r="B682" s="2">
        <v>44890</v>
      </c>
      <c r="C682">
        <v>2022</v>
      </c>
      <c r="D682" t="s">
        <v>30</v>
      </c>
      <c r="E682" s="2">
        <v>44893</v>
      </c>
      <c r="F682">
        <v>3</v>
      </c>
      <c r="G682" t="s">
        <v>33</v>
      </c>
      <c r="H682" t="s">
        <v>194</v>
      </c>
      <c r="I682" t="s">
        <v>324</v>
      </c>
      <c r="J682" t="s">
        <v>327</v>
      </c>
      <c r="K682" t="s">
        <v>330</v>
      </c>
      <c r="L682" t="s">
        <v>339</v>
      </c>
      <c r="M682" t="s">
        <v>346</v>
      </c>
      <c r="N682" t="s">
        <v>350</v>
      </c>
      <c r="O682" t="s">
        <v>354</v>
      </c>
      <c r="P682" t="s">
        <v>359</v>
      </c>
      <c r="Q682">
        <v>464.53</v>
      </c>
      <c r="R682">
        <v>10</v>
      </c>
      <c r="S682">
        <v>8.18</v>
      </c>
    </row>
    <row r="683" spans="1:19" x14ac:dyDescent="0.25">
      <c r="A683">
        <v>682</v>
      </c>
      <c r="B683" s="2">
        <v>44857</v>
      </c>
      <c r="C683">
        <v>2022</v>
      </c>
      <c r="D683" t="s">
        <v>22</v>
      </c>
      <c r="E683" s="2">
        <v>44858</v>
      </c>
      <c r="F683">
        <v>1</v>
      </c>
      <c r="G683" t="s">
        <v>34</v>
      </c>
      <c r="H683" t="s">
        <v>278</v>
      </c>
      <c r="I683" t="s">
        <v>325</v>
      </c>
      <c r="J683" t="s">
        <v>326</v>
      </c>
      <c r="K683" t="s">
        <v>329</v>
      </c>
      <c r="L683" t="s">
        <v>338</v>
      </c>
      <c r="M683" t="s">
        <v>345</v>
      </c>
      <c r="N683" t="s">
        <v>352</v>
      </c>
      <c r="O683" t="s">
        <v>358</v>
      </c>
      <c r="P683" t="s">
        <v>360</v>
      </c>
      <c r="Q683">
        <v>49.79</v>
      </c>
      <c r="R683">
        <v>4</v>
      </c>
      <c r="S683">
        <v>-9.33</v>
      </c>
    </row>
    <row r="684" spans="1:19" x14ac:dyDescent="0.25">
      <c r="A684">
        <v>683</v>
      </c>
      <c r="B684" s="2">
        <v>45944</v>
      </c>
      <c r="C684">
        <v>2025</v>
      </c>
      <c r="D684" t="s">
        <v>22</v>
      </c>
      <c r="E684" s="2">
        <v>45949</v>
      </c>
      <c r="F684">
        <v>5</v>
      </c>
      <c r="G684" t="s">
        <v>34</v>
      </c>
      <c r="H684" t="s">
        <v>290</v>
      </c>
      <c r="I684" t="s">
        <v>323</v>
      </c>
      <c r="J684" t="s">
        <v>328</v>
      </c>
      <c r="K684" t="s">
        <v>335</v>
      </c>
      <c r="L684" t="s">
        <v>335</v>
      </c>
      <c r="M684" t="s">
        <v>345</v>
      </c>
      <c r="N684" t="s">
        <v>351</v>
      </c>
      <c r="O684" t="s">
        <v>355</v>
      </c>
      <c r="P684" t="s">
        <v>360</v>
      </c>
      <c r="Q684">
        <v>284.77</v>
      </c>
      <c r="R684">
        <v>6</v>
      </c>
      <c r="S684">
        <v>129.76</v>
      </c>
    </row>
    <row r="685" spans="1:19" x14ac:dyDescent="0.25">
      <c r="A685">
        <v>684</v>
      </c>
      <c r="B685" s="2">
        <v>45797</v>
      </c>
      <c r="C685">
        <v>2025</v>
      </c>
      <c r="D685" t="s">
        <v>19</v>
      </c>
      <c r="E685" s="2">
        <v>45798</v>
      </c>
      <c r="F685">
        <v>1</v>
      </c>
      <c r="G685" t="s">
        <v>34</v>
      </c>
      <c r="H685" t="s">
        <v>96</v>
      </c>
      <c r="I685" t="s">
        <v>325</v>
      </c>
      <c r="J685" t="s">
        <v>327</v>
      </c>
      <c r="K685" t="s">
        <v>334</v>
      </c>
      <c r="L685" t="s">
        <v>334</v>
      </c>
      <c r="M685" t="s">
        <v>349</v>
      </c>
      <c r="N685" t="s">
        <v>352</v>
      </c>
      <c r="O685" t="s">
        <v>357</v>
      </c>
      <c r="P685" t="s">
        <v>359</v>
      </c>
      <c r="Q685">
        <v>187.71</v>
      </c>
      <c r="R685">
        <v>9</v>
      </c>
      <c r="S685">
        <v>74.16</v>
      </c>
    </row>
    <row r="686" spans="1:19" x14ac:dyDescent="0.25">
      <c r="A686">
        <v>685</v>
      </c>
      <c r="B686" s="2">
        <v>44289</v>
      </c>
      <c r="C686">
        <v>2021</v>
      </c>
      <c r="D686" t="s">
        <v>26</v>
      </c>
      <c r="E686" s="2">
        <v>44292</v>
      </c>
      <c r="F686">
        <v>3</v>
      </c>
      <c r="G686" t="s">
        <v>31</v>
      </c>
      <c r="H686" t="s">
        <v>72</v>
      </c>
      <c r="I686" t="s">
        <v>325</v>
      </c>
      <c r="J686" t="s">
        <v>326</v>
      </c>
      <c r="K686" t="s">
        <v>333</v>
      </c>
      <c r="L686" t="s">
        <v>342</v>
      </c>
      <c r="M686" t="s">
        <v>345</v>
      </c>
      <c r="N686" t="s">
        <v>351</v>
      </c>
      <c r="O686" t="s">
        <v>355</v>
      </c>
      <c r="P686" t="s">
        <v>362</v>
      </c>
      <c r="Q686">
        <v>455.62</v>
      </c>
      <c r="R686">
        <v>1</v>
      </c>
      <c r="S686">
        <v>120.47</v>
      </c>
    </row>
    <row r="687" spans="1:19" x14ac:dyDescent="0.25">
      <c r="A687">
        <v>686</v>
      </c>
      <c r="B687" s="2">
        <v>45783</v>
      </c>
      <c r="C687">
        <v>2025</v>
      </c>
      <c r="D687" t="s">
        <v>19</v>
      </c>
      <c r="E687" s="2">
        <v>45788</v>
      </c>
      <c r="F687">
        <v>5</v>
      </c>
      <c r="G687" t="s">
        <v>33</v>
      </c>
      <c r="H687" t="s">
        <v>162</v>
      </c>
      <c r="I687" t="s">
        <v>323</v>
      </c>
      <c r="J687" t="s">
        <v>326</v>
      </c>
      <c r="K687" t="s">
        <v>329</v>
      </c>
      <c r="L687" t="s">
        <v>338</v>
      </c>
      <c r="M687" t="s">
        <v>345</v>
      </c>
      <c r="N687" t="s">
        <v>352</v>
      </c>
      <c r="O687" t="s">
        <v>357</v>
      </c>
      <c r="P687" t="s">
        <v>362</v>
      </c>
      <c r="Q687">
        <v>92.25</v>
      </c>
      <c r="R687">
        <v>4</v>
      </c>
      <c r="S687">
        <v>-21.42</v>
      </c>
    </row>
    <row r="688" spans="1:19" x14ac:dyDescent="0.25">
      <c r="A688">
        <v>687</v>
      </c>
      <c r="B688" s="2">
        <v>45176</v>
      </c>
      <c r="C688">
        <v>2023</v>
      </c>
      <c r="D688" t="s">
        <v>25</v>
      </c>
      <c r="E688" s="2">
        <v>45181</v>
      </c>
      <c r="F688">
        <v>5</v>
      </c>
      <c r="G688" t="s">
        <v>33</v>
      </c>
      <c r="H688" t="s">
        <v>219</v>
      </c>
      <c r="I688" t="s">
        <v>324</v>
      </c>
      <c r="J688" t="s">
        <v>328</v>
      </c>
      <c r="K688" t="s">
        <v>332</v>
      </c>
      <c r="L688" t="s">
        <v>341</v>
      </c>
      <c r="M688" t="s">
        <v>348</v>
      </c>
      <c r="N688" t="s">
        <v>352</v>
      </c>
      <c r="O688" t="s">
        <v>357</v>
      </c>
      <c r="P688" t="s">
        <v>362</v>
      </c>
      <c r="Q688">
        <v>33.07</v>
      </c>
      <c r="R688">
        <v>10</v>
      </c>
      <c r="S688">
        <v>-9.56</v>
      </c>
    </row>
    <row r="689" spans="1:19" x14ac:dyDescent="0.25">
      <c r="A689">
        <v>688</v>
      </c>
      <c r="B689" s="2">
        <v>45142</v>
      </c>
      <c r="C689">
        <v>2023</v>
      </c>
      <c r="D689" t="s">
        <v>27</v>
      </c>
      <c r="E689" s="2">
        <v>45144</v>
      </c>
      <c r="F689">
        <v>2</v>
      </c>
      <c r="G689" t="s">
        <v>31</v>
      </c>
      <c r="H689" t="s">
        <v>303</v>
      </c>
      <c r="I689" t="s">
        <v>324</v>
      </c>
      <c r="J689" t="s">
        <v>327</v>
      </c>
      <c r="K689" t="s">
        <v>337</v>
      </c>
      <c r="L689" t="s">
        <v>344</v>
      </c>
      <c r="M689" t="s">
        <v>347</v>
      </c>
      <c r="N689" t="s">
        <v>351</v>
      </c>
      <c r="O689" t="s">
        <v>356</v>
      </c>
      <c r="P689" t="s">
        <v>359</v>
      </c>
      <c r="Q689">
        <v>113.54</v>
      </c>
      <c r="R689">
        <v>9</v>
      </c>
      <c r="S689">
        <v>28.33</v>
      </c>
    </row>
    <row r="690" spans="1:19" x14ac:dyDescent="0.25">
      <c r="A690">
        <v>689</v>
      </c>
      <c r="B690" s="2">
        <v>44021</v>
      </c>
      <c r="C690">
        <v>2020</v>
      </c>
      <c r="D690" t="s">
        <v>20</v>
      </c>
      <c r="E690" s="2">
        <v>44025</v>
      </c>
      <c r="F690">
        <v>4</v>
      </c>
      <c r="G690" t="s">
        <v>32</v>
      </c>
      <c r="H690" t="s">
        <v>288</v>
      </c>
      <c r="I690" t="s">
        <v>325</v>
      </c>
      <c r="J690" t="s">
        <v>326</v>
      </c>
      <c r="K690" t="s">
        <v>331</v>
      </c>
      <c r="L690" t="s">
        <v>340</v>
      </c>
      <c r="M690" t="s">
        <v>347</v>
      </c>
      <c r="N690" t="s">
        <v>350</v>
      </c>
      <c r="O690" t="s">
        <v>353</v>
      </c>
      <c r="P690" t="s">
        <v>360</v>
      </c>
      <c r="Q690">
        <v>49.16</v>
      </c>
      <c r="R690">
        <v>1</v>
      </c>
      <c r="S690">
        <v>-9.4</v>
      </c>
    </row>
    <row r="691" spans="1:19" x14ac:dyDescent="0.25">
      <c r="A691">
        <v>690</v>
      </c>
      <c r="B691" s="2">
        <v>44138</v>
      </c>
      <c r="C691">
        <v>2020</v>
      </c>
      <c r="D691" t="s">
        <v>30</v>
      </c>
      <c r="E691" s="2">
        <v>44144</v>
      </c>
      <c r="F691">
        <v>6</v>
      </c>
      <c r="G691" t="s">
        <v>34</v>
      </c>
      <c r="H691" t="s">
        <v>145</v>
      </c>
      <c r="I691" t="s">
        <v>323</v>
      </c>
      <c r="J691" t="s">
        <v>326</v>
      </c>
      <c r="K691" t="s">
        <v>329</v>
      </c>
      <c r="L691" t="s">
        <v>338</v>
      </c>
      <c r="M691" t="s">
        <v>345</v>
      </c>
      <c r="N691" t="s">
        <v>351</v>
      </c>
      <c r="O691" t="s">
        <v>356</v>
      </c>
      <c r="P691" t="s">
        <v>361</v>
      </c>
      <c r="Q691">
        <v>378.94</v>
      </c>
      <c r="R691">
        <v>10</v>
      </c>
      <c r="S691">
        <v>134.69999999999999</v>
      </c>
    </row>
    <row r="692" spans="1:19" x14ac:dyDescent="0.25">
      <c r="A692">
        <v>691</v>
      </c>
      <c r="B692" s="2">
        <v>45981</v>
      </c>
      <c r="C692">
        <v>2025</v>
      </c>
      <c r="D692" t="s">
        <v>30</v>
      </c>
      <c r="E692" s="2">
        <v>45984</v>
      </c>
      <c r="F692">
        <v>3</v>
      </c>
      <c r="G692" t="s">
        <v>34</v>
      </c>
      <c r="H692" t="s">
        <v>293</v>
      </c>
      <c r="I692" t="s">
        <v>323</v>
      </c>
      <c r="J692" t="s">
        <v>326</v>
      </c>
      <c r="K692" t="s">
        <v>331</v>
      </c>
      <c r="L692" t="s">
        <v>340</v>
      </c>
      <c r="M692" t="s">
        <v>347</v>
      </c>
      <c r="N692" t="s">
        <v>352</v>
      </c>
      <c r="O692" t="s">
        <v>358</v>
      </c>
      <c r="P692" t="s">
        <v>361</v>
      </c>
      <c r="Q692">
        <v>76.08</v>
      </c>
      <c r="R692">
        <v>3</v>
      </c>
      <c r="S692">
        <v>-2.34</v>
      </c>
    </row>
    <row r="693" spans="1:19" x14ac:dyDescent="0.25">
      <c r="A693">
        <v>692</v>
      </c>
      <c r="B693" s="2">
        <v>45762</v>
      </c>
      <c r="C693">
        <v>2025</v>
      </c>
      <c r="D693" t="s">
        <v>26</v>
      </c>
      <c r="E693" s="2">
        <v>45765</v>
      </c>
      <c r="F693">
        <v>3</v>
      </c>
      <c r="G693" t="s">
        <v>32</v>
      </c>
      <c r="H693" t="s">
        <v>264</v>
      </c>
      <c r="I693" t="s">
        <v>325</v>
      </c>
      <c r="J693" t="s">
        <v>328</v>
      </c>
      <c r="K693" t="s">
        <v>336</v>
      </c>
      <c r="L693" t="s">
        <v>343</v>
      </c>
      <c r="M693" t="s">
        <v>347</v>
      </c>
      <c r="N693" t="s">
        <v>351</v>
      </c>
      <c r="O693" t="s">
        <v>355</v>
      </c>
      <c r="P693" t="s">
        <v>362</v>
      </c>
      <c r="Q693">
        <v>316.39</v>
      </c>
      <c r="R693">
        <v>10</v>
      </c>
      <c r="S693">
        <v>121.89</v>
      </c>
    </row>
    <row r="694" spans="1:19" x14ac:dyDescent="0.25">
      <c r="A694">
        <v>693</v>
      </c>
      <c r="B694" s="2">
        <v>45097</v>
      </c>
      <c r="C694">
        <v>2023</v>
      </c>
      <c r="D694" t="s">
        <v>21</v>
      </c>
      <c r="E694" s="2">
        <v>45103</v>
      </c>
      <c r="F694">
        <v>6</v>
      </c>
      <c r="G694" t="s">
        <v>34</v>
      </c>
      <c r="H694" t="s">
        <v>141</v>
      </c>
      <c r="I694" t="s">
        <v>324</v>
      </c>
      <c r="J694" t="s">
        <v>327</v>
      </c>
      <c r="K694" t="s">
        <v>330</v>
      </c>
      <c r="L694" t="s">
        <v>339</v>
      </c>
      <c r="M694" t="s">
        <v>346</v>
      </c>
      <c r="N694" t="s">
        <v>351</v>
      </c>
      <c r="O694" t="s">
        <v>355</v>
      </c>
      <c r="P694" t="s">
        <v>361</v>
      </c>
      <c r="Q694">
        <v>168.14</v>
      </c>
      <c r="R694">
        <v>1</v>
      </c>
      <c r="S694">
        <v>11.28</v>
      </c>
    </row>
    <row r="695" spans="1:19" x14ac:dyDescent="0.25">
      <c r="A695">
        <v>694</v>
      </c>
      <c r="B695" s="2">
        <v>44803</v>
      </c>
      <c r="C695">
        <v>2022</v>
      </c>
      <c r="D695" t="s">
        <v>27</v>
      </c>
      <c r="E695" s="2">
        <v>44812</v>
      </c>
      <c r="F695">
        <v>9</v>
      </c>
      <c r="G695" t="s">
        <v>31</v>
      </c>
      <c r="H695" t="s">
        <v>288</v>
      </c>
      <c r="I695" t="s">
        <v>324</v>
      </c>
      <c r="J695" t="s">
        <v>326</v>
      </c>
      <c r="K695" t="s">
        <v>331</v>
      </c>
      <c r="L695" t="s">
        <v>340</v>
      </c>
      <c r="M695" t="s">
        <v>347</v>
      </c>
      <c r="N695" t="s">
        <v>352</v>
      </c>
      <c r="O695" t="s">
        <v>358</v>
      </c>
      <c r="P695" t="s">
        <v>361</v>
      </c>
      <c r="Q695">
        <v>156.46</v>
      </c>
      <c r="R695">
        <v>7</v>
      </c>
      <c r="S695">
        <v>39.42</v>
      </c>
    </row>
    <row r="696" spans="1:19" x14ac:dyDescent="0.25">
      <c r="A696">
        <v>695</v>
      </c>
      <c r="B696" s="2">
        <v>44815</v>
      </c>
      <c r="C696">
        <v>2022</v>
      </c>
      <c r="D696" t="s">
        <v>25</v>
      </c>
      <c r="E696" s="2">
        <v>44825</v>
      </c>
      <c r="F696">
        <v>10</v>
      </c>
      <c r="G696" t="s">
        <v>33</v>
      </c>
      <c r="H696" t="s">
        <v>176</v>
      </c>
      <c r="I696" t="s">
        <v>324</v>
      </c>
      <c r="J696" t="s">
        <v>328</v>
      </c>
      <c r="K696" t="s">
        <v>332</v>
      </c>
      <c r="L696" t="s">
        <v>341</v>
      </c>
      <c r="M696" t="s">
        <v>348</v>
      </c>
      <c r="N696" t="s">
        <v>352</v>
      </c>
      <c r="O696" t="s">
        <v>358</v>
      </c>
      <c r="P696" t="s">
        <v>362</v>
      </c>
      <c r="Q696">
        <v>112.23</v>
      </c>
      <c r="R696">
        <v>4</v>
      </c>
      <c r="S696">
        <v>52.19</v>
      </c>
    </row>
    <row r="697" spans="1:19" x14ac:dyDescent="0.25">
      <c r="A697">
        <v>696</v>
      </c>
      <c r="B697" s="2">
        <v>45220</v>
      </c>
      <c r="C697">
        <v>2023</v>
      </c>
      <c r="D697" t="s">
        <v>22</v>
      </c>
      <c r="E697" s="2">
        <v>45229</v>
      </c>
      <c r="F697">
        <v>9</v>
      </c>
      <c r="G697" t="s">
        <v>32</v>
      </c>
      <c r="H697" t="s">
        <v>304</v>
      </c>
      <c r="I697" t="s">
        <v>324</v>
      </c>
      <c r="J697" t="s">
        <v>327</v>
      </c>
      <c r="K697" t="s">
        <v>334</v>
      </c>
      <c r="L697" t="s">
        <v>334</v>
      </c>
      <c r="M697" t="s">
        <v>349</v>
      </c>
      <c r="N697" t="s">
        <v>352</v>
      </c>
      <c r="O697" t="s">
        <v>357</v>
      </c>
      <c r="P697" t="s">
        <v>360</v>
      </c>
      <c r="Q697">
        <v>437.35</v>
      </c>
      <c r="R697">
        <v>9</v>
      </c>
      <c r="S697">
        <v>56.72</v>
      </c>
    </row>
    <row r="698" spans="1:19" x14ac:dyDescent="0.25">
      <c r="A698">
        <v>697</v>
      </c>
      <c r="B698" s="2">
        <v>45597</v>
      </c>
      <c r="C698">
        <v>2024</v>
      </c>
      <c r="D698" t="s">
        <v>30</v>
      </c>
      <c r="E698" s="2">
        <v>45599</v>
      </c>
      <c r="F698">
        <v>2</v>
      </c>
      <c r="G698" t="s">
        <v>32</v>
      </c>
      <c r="H698" t="s">
        <v>224</v>
      </c>
      <c r="I698" t="s">
        <v>324</v>
      </c>
      <c r="J698" t="s">
        <v>326</v>
      </c>
      <c r="K698" t="s">
        <v>331</v>
      </c>
      <c r="L698" t="s">
        <v>340</v>
      </c>
      <c r="M698" t="s">
        <v>347</v>
      </c>
      <c r="N698" t="s">
        <v>351</v>
      </c>
      <c r="O698" t="s">
        <v>355</v>
      </c>
      <c r="P698" t="s">
        <v>362</v>
      </c>
      <c r="Q698">
        <v>124.78</v>
      </c>
      <c r="R698">
        <v>1</v>
      </c>
      <c r="S698">
        <v>51.72</v>
      </c>
    </row>
    <row r="699" spans="1:19" x14ac:dyDescent="0.25">
      <c r="A699">
        <v>698</v>
      </c>
      <c r="B699" s="2">
        <v>44943</v>
      </c>
      <c r="C699">
        <v>2023</v>
      </c>
      <c r="D699" t="s">
        <v>23</v>
      </c>
      <c r="E699" s="2">
        <v>44945</v>
      </c>
      <c r="F699">
        <v>2</v>
      </c>
      <c r="G699" t="s">
        <v>34</v>
      </c>
      <c r="H699" t="s">
        <v>261</v>
      </c>
      <c r="I699" t="s">
        <v>324</v>
      </c>
      <c r="J699" t="s">
        <v>327</v>
      </c>
      <c r="K699" t="s">
        <v>334</v>
      </c>
      <c r="L699" t="s">
        <v>334</v>
      </c>
      <c r="M699" t="s">
        <v>349</v>
      </c>
      <c r="N699" t="s">
        <v>352</v>
      </c>
      <c r="O699" t="s">
        <v>357</v>
      </c>
      <c r="P699" t="s">
        <v>361</v>
      </c>
      <c r="Q699">
        <v>291.8</v>
      </c>
      <c r="R699">
        <v>3</v>
      </c>
      <c r="S699">
        <v>-57.06</v>
      </c>
    </row>
    <row r="700" spans="1:19" x14ac:dyDescent="0.25">
      <c r="A700">
        <v>699</v>
      </c>
      <c r="B700" s="2">
        <v>45726</v>
      </c>
      <c r="C700">
        <v>2025</v>
      </c>
      <c r="D700" t="s">
        <v>24</v>
      </c>
      <c r="E700" s="2">
        <v>45732</v>
      </c>
      <c r="F700">
        <v>6</v>
      </c>
      <c r="G700" t="s">
        <v>32</v>
      </c>
      <c r="H700" t="s">
        <v>112</v>
      </c>
      <c r="I700" t="s">
        <v>325</v>
      </c>
      <c r="J700" t="s">
        <v>327</v>
      </c>
      <c r="K700" t="s">
        <v>330</v>
      </c>
      <c r="L700" t="s">
        <v>339</v>
      </c>
      <c r="M700" t="s">
        <v>346</v>
      </c>
      <c r="N700" t="s">
        <v>350</v>
      </c>
      <c r="O700" t="s">
        <v>353</v>
      </c>
      <c r="P700" t="s">
        <v>359</v>
      </c>
      <c r="Q700">
        <v>71.599999999999994</v>
      </c>
      <c r="R700">
        <v>10</v>
      </c>
      <c r="S700">
        <v>14.55</v>
      </c>
    </row>
    <row r="701" spans="1:19" x14ac:dyDescent="0.25">
      <c r="A701">
        <v>700</v>
      </c>
      <c r="B701" s="2">
        <v>45751</v>
      </c>
      <c r="C701">
        <v>2025</v>
      </c>
      <c r="D701" t="s">
        <v>26</v>
      </c>
      <c r="E701" s="2">
        <v>45758</v>
      </c>
      <c r="F701">
        <v>7</v>
      </c>
      <c r="G701" t="s">
        <v>34</v>
      </c>
      <c r="H701" t="s">
        <v>235</v>
      </c>
      <c r="I701" t="s">
        <v>325</v>
      </c>
      <c r="J701" t="s">
        <v>328</v>
      </c>
      <c r="K701" t="s">
        <v>332</v>
      </c>
      <c r="L701" t="s">
        <v>341</v>
      </c>
      <c r="M701" t="s">
        <v>348</v>
      </c>
      <c r="N701" t="s">
        <v>352</v>
      </c>
      <c r="O701" t="s">
        <v>357</v>
      </c>
      <c r="P701" t="s">
        <v>361</v>
      </c>
      <c r="Q701">
        <v>301.01</v>
      </c>
      <c r="R701">
        <v>1</v>
      </c>
      <c r="S701">
        <v>66.16</v>
      </c>
    </row>
    <row r="702" spans="1:19" x14ac:dyDescent="0.25">
      <c r="A702">
        <v>701</v>
      </c>
      <c r="B702" s="2">
        <v>43975</v>
      </c>
      <c r="C702">
        <v>2020</v>
      </c>
      <c r="D702" t="s">
        <v>19</v>
      </c>
      <c r="E702" s="2">
        <v>43982</v>
      </c>
      <c r="F702">
        <v>7</v>
      </c>
      <c r="G702" t="s">
        <v>33</v>
      </c>
      <c r="H702" t="s">
        <v>58</v>
      </c>
      <c r="I702" t="s">
        <v>324</v>
      </c>
      <c r="J702" t="s">
        <v>328</v>
      </c>
      <c r="K702" t="s">
        <v>336</v>
      </c>
      <c r="L702" t="s">
        <v>343</v>
      </c>
      <c r="M702" t="s">
        <v>347</v>
      </c>
      <c r="N702" t="s">
        <v>351</v>
      </c>
      <c r="O702" t="s">
        <v>355</v>
      </c>
      <c r="P702" t="s">
        <v>359</v>
      </c>
      <c r="Q702">
        <v>294.36</v>
      </c>
      <c r="R702">
        <v>7</v>
      </c>
      <c r="S702">
        <v>-29.98</v>
      </c>
    </row>
    <row r="703" spans="1:19" x14ac:dyDescent="0.25">
      <c r="A703">
        <v>702</v>
      </c>
      <c r="B703" s="2">
        <v>45755</v>
      </c>
      <c r="C703">
        <v>2025</v>
      </c>
      <c r="D703" t="s">
        <v>26</v>
      </c>
      <c r="E703" s="2">
        <v>45763</v>
      </c>
      <c r="F703">
        <v>8</v>
      </c>
      <c r="G703" t="s">
        <v>33</v>
      </c>
      <c r="H703" t="s">
        <v>54</v>
      </c>
      <c r="I703" t="s">
        <v>323</v>
      </c>
      <c r="J703" t="s">
        <v>326</v>
      </c>
      <c r="K703" t="s">
        <v>331</v>
      </c>
      <c r="L703" t="s">
        <v>340</v>
      </c>
      <c r="M703" t="s">
        <v>347</v>
      </c>
      <c r="N703" t="s">
        <v>352</v>
      </c>
      <c r="O703" t="s">
        <v>357</v>
      </c>
      <c r="P703" t="s">
        <v>360</v>
      </c>
      <c r="Q703">
        <v>98.44</v>
      </c>
      <c r="R703">
        <v>5</v>
      </c>
      <c r="S703">
        <v>5.23</v>
      </c>
    </row>
    <row r="704" spans="1:19" x14ac:dyDescent="0.25">
      <c r="A704">
        <v>703</v>
      </c>
      <c r="B704" s="2">
        <v>43848</v>
      </c>
      <c r="C704">
        <v>2020</v>
      </c>
      <c r="D704" t="s">
        <v>23</v>
      </c>
      <c r="E704" s="2">
        <v>43854</v>
      </c>
      <c r="F704">
        <v>6</v>
      </c>
      <c r="G704" t="s">
        <v>31</v>
      </c>
      <c r="H704" t="s">
        <v>204</v>
      </c>
      <c r="I704" t="s">
        <v>325</v>
      </c>
      <c r="J704" t="s">
        <v>328</v>
      </c>
      <c r="K704" t="s">
        <v>336</v>
      </c>
      <c r="L704" t="s">
        <v>343</v>
      </c>
      <c r="M704" t="s">
        <v>347</v>
      </c>
      <c r="N704" t="s">
        <v>352</v>
      </c>
      <c r="O704" t="s">
        <v>358</v>
      </c>
      <c r="P704" t="s">
        <v>361</v>
      </c>
      <c r="Q704">
        <v>469.01</v>
      </c>
      <c r="R704">
        <v>7</v>
      </c>
      <c r="S704">
        <v>-65.8</v>
      </c>
    </row>
    <row r="705" spans="1:19" x14ac:dyDescent="0.25">
      <c r="A705">
        <v>704</v>
      </c>
      <c r="B705" s="2">
        <v>44510</v>
      </c>
      <c r="C705">
        <v>2021</v>
      </c>
      <c r="D705" t="s">
        <v>30</v>
      </c>
      <c r="E705" s="2">
        <v>44519</v>
      </c>
      <c r="F705">
        <v>9</v>
      </c>
      <c r="G705" t="s">
        <v>32</v>
      </c>
      <c r="H705" t="s">
        <v>305</v>
      </c>
      <c r="I705" t="s">
        <v>324</v>
      </c>
      <c r="J705" t="s">
        <v>326</v>
      </c>
      <c r="K705" t="s">
        <v>331</v>
      </c>
      <c r="L705" t="s">
        <v>340</v>
      </c>
      <c r="M705" t="s">
        <v>347</v>
      </c>
      <c r="N705" t="s">
        <v>351</v>
      </c>
      <c r="O705" t="s">
        <v>356</v>
      </c>
      <c r="P705" t="s">
        <v>362</v>
      </c>
      <c r="Q705">
        <v>476.86</v>
      </c>
      <c r="R705">
        <v>10</v>
      </c>
      <c r="S705">
        <v>144.9</v>
      </c>
    </row>
    <row r="706" spans="1:19" x14ac:dyDescent="0.25">
      <c r="A706">
        <v>705</v>
      </c>
      <c r="B706" s="2">
        <v>45260</v>
      </c>
      <c r="C706">
        <v>2023</v>
      </c>
      <c r="D706" t="s">
        <v>30</v>
      </c>
      <c r="E706" s="2">
        <v>45267</v>
      </c>
      <c r="F706">
        <v>7</v>
      </c>
      <c r="G706" t="s">
        <v>31</v>
      </c>
      <c r="H706" t="s">
        <v>134</v>
      </c>
      <c r="I706" t="s">
        <v>324</v>
      </c>
      <c r="J706" t="s">
        <v>327</v>
      </c>
      <c r="K706" t="s">
        <v>334</v>
      </c>
      <c r="L706" t="s">
        <v>334</v>
      </c>
      <c r="M706" t="s">
        <v>349</v>
      </c>
      <c r="N706" t="s">
        <v>352</v>
      </c>
      <c r="O706" t="s">
        <v>358</v>
      </c>
      <c r="P706" t="s">
        <v>360</v>
      </c>
      <c r="Q706">
        <v>164.87</v>
      </c>
      <c r="R706">
        <v>10</v>
      </c>
      <c r="S706">
        <v>-41.72</v>
      </c>
    </row>
    <row r="707" spans="1:19" x14ac:dyDescent="0.25">
      <c r="A707">
        <v>706</v>
      </c>
      <c r="B707" s="2">
        <v>44248</v>
      </c>
      <c r="C707">
        <v>2021</v>
      </c>
      <c r="D707" t="s">
        <v>28</v>
      </c>
      <c r="E707" s="2">
        <v>44251</v>
      </c>
      <c r="F707">
        <v>3</v>
      </c>
      <c r="G707" t="s">
        <v>34</v>
      </c>
      <c r="H707" t="s">
        <v>49</v>
      </c>
      <c r="I707" t="s">
        <v>323</v>
      </c>
      <c r="J707" t="s">
        <v>327</v>
      </c>
      <c r="K707" t="s">
        <v>330</v>
      </c>
      <c r="L707" t="s">
        <v>339</v>
      </c>
      <c r="M707" t="s">
        <v>346</v>
      </c>
      <c r="N707" t="s">
        <v>350</v>
      </c>
      <c r="O707" t="s">
        <v>354</v>
      </c>
      <c r="P707" t="s">
        <v>360</v>
      </c>
      <c r="Q707">
        <v>476.08</v>
      </c>
      <c r="R707">
        <v>8</v>
      </c>
      <c r="S707">
        <v>170</v>
      </c>
    </row>
    <row r="708" spans="1:19" x14ac:dyDescent="0.25">
      <c r="A708">
        <v>707</v>
      </c>
      <c r="B708" s="2">
        <v>45258</v>
      </c>
      <c r="C708">
        <v>2023</v>
      </c>
      <c r="D708" t="s">
        <v>30</v>
      </c>
      <c r="E708" s="2">
        <v>45259</v>
      </c>
      <c r="F708">
        <v>1</v>
      </c>
      <c r="G708" t="s">
        <v>34</v>
      </c>
      <c r="H708" t="s">
        <v>187</v>
      </c>
      <c r="I708" t="s">
        <v>325</v>
      </c>
      <c r="J708" t="s">
        <v>327</v>
      </c>
      <c r="K708" t="s">
        <v>330</v>
      </c>
      <c r="L708" t="s">
        <v>339</v>
      </c>
      <c r="M708" t="s">
        <v>346</v>
      </c>
      <c r="N708" t="s">
        <v>352</v>
      </c>
      <c r="O708" t="s">
        <v>357</v>
      </c>
      <c r="P708" t="s">
        <v>361</v>
      </c>
      <c r="Q708">
        <v>244.75</v>
      </c>
      <c r="R708">
        <v>5</v>
      </c>
      <c r="S708">
        <v>-36.74</v>
      </c>
    </row>
    <row r="709" spans="1:19" x14ac:dyDescent="0.25">
      <c r="A709">
        <v>708</v>
      </c>
      <c r="B709" s="2">
        <v>45490</v>
      </c>
      <c r="C709">
        <v>2024</v>
      </c>
      <c r="D709" t="s">
        <v>20</v>
      </c>
      <c r="E709" s="2">
        <v>45495</v>
      </c>
      <c r="F709">
        <v>5</v>
      </c>
      <c r="G709" t="s">
        <v>32</v>
      </c>
      <c r="H709" t="s">
        <v>305</v>
      </c>
      <c r="I709" t="s">
        <v>325</v>
      </c>
      <c r="J709" t="s">
        <v>328</v>
      </c>
      <c r="K709" t="s">
        <v>336</v>
      </c>
      <c r="L709" t="s">
        <v>343</v>
      </c>
      <c r="M709" t="s">
        <v>347</v>
      </c>
      <c r="N709" t="s">
        <v>350</v>
      </c>
      <c r="O709" t="s">
        <v>354</v>
      </c>
      <c r="P709" t="s">
        <v>360</v>
      </c>
      <c r="Q709">
        <v>257.22000000000003</v>
      </c>
      <c r="R709">
        <v>1</v>
      </c>
      <c r="S709">
        <v>50.88</v>
      </c>
    </row>
    <row r="710" spans="1:19" x14ac:dyDescent="0.25">
      <c r="A710">
        <v>709</v>
      </c>
      <c r="B710" s="2">
        <v>45231</v>
      </c>
      <c r="C710">
        <v>2023</v>
      </c>
      <c r="D710" t="s">
        <v>30</v>
      </c>
      <c r="E710" s="2">
        <v>45239</v>
      </c>
      <c r="F710">
        <v>8</v>
      </c>
      <c r="G710" t="s">
        <v>32</v>
      </c>
      <c r="H710" t="s">
        <v>180</v>
      </c>
      <c r="I710" t="s">
        <v>323</v>
      </c>
      <c r="J710" t="s">
        <v>328</v>
      </c>
      <c r="K710" t="s">
        <v>332</v>
      </c>
      <c r="L710" t="s">
        <v>341</v>
      </c>
      <c r="M710" t="s">
        <v>348</v>
      </c>
      <c r="N710" t="s">
        <v>350</v>
      </c>
      <c r="O710" t="s">
        <v>353</v>
      </c>
      <c r="P710" t="s">
        <v>360</v>
      </c>
      <c r="Q710">
        <v>109.43</v>
      </c>
      <c r="R710">
        <v>7</v>
      </c>
      <c r="S710">
        <v>-7.08</v>
      </c>
    </row>
    <row r="711" spans="1:19" x14ac:dyDescent="0.25">
      <c r="A711">
        <v>710</v>
      </c>
      <c r="B711" s="2">
        <v>45116</v>
      </c>
      <c r="C711">
        <v>2023</v>
      </c>
      <c r="D711" t="s">
        <v>20</v>
      </c>
      <c r="E711" s="2">
        <v>45121</v>
      </c>
      <c r="F711">
        <v>5</v>
      </c>
      <c r="G711" t="s">
        <v>31</v>
      </c>
      <c r="H711" t="s">
        <v>306</v>
      </c>
      <c r="I711" t="s">
        <v>323</v>
      </c>
      <c r="J711" t="s">
        <v>328</v>
      </c>
      <c r="K711" t="s">
        <v>336</v>
      </c>
      <c r="L711" t="s">
        <v>343</v>
      </c>
      <c r="M711" t="s">
        <v>347</v>
      </c>
      <c r="N711" t="s">
        <v>350</v>
      </c>
      <c r="O711" t="s">
        <v>353</v>
      </c>
      <c r="P711" t="s">
        <v>361</v>
      </c>
      <c r="Q711">
        <v>280.16000000000003</v>
      </c>
      <c r="R711">
        <v>7</v>
      </c>
      <c r="S711">
        <v>-18.5</v>
      </c>
    </row>
    <row r="712" spans="1:19" x14ac:dyDescent="0.25">
      <c r="A712">
        <v>711</v>
      </c>
      <c r="B712" s="2">
        <v>45274</v>
      </c>
      <c r="C712">
        <v>2023</v>
      </c>
      <c r="D712" t="s">
        <v>29</v>
      </c>
      <c r="E712" s="2">
        <v>45277</v>
      </c>
      <c r="F712">
        <v>3</v>
      </c>
      <c r="G712" t="s">
        <v>34</v>
      </c>
      <c r="H712" t="s">
        <v>278</v>
      </c>
      <c r="I712" t="s">
        <v>323</v>
      </c>
      <c r="J712" t="s">
        <v>328</v>
      </c>
      <c r="K712" t="s">
        <v>332</v>
      </c>
      <c r="L712" t="s">
        <v>341</v>
      </c>
      <c r="M712" t="s">
        <v>348</v>
      </c>
      <c r="N712" t="s">
        <v>351</v>
      </c>
      <c r="O712" t="s">
        <v>356</v>
      </c>
      <c r="P712" t="s">
        <v>359</v>
      </c>
      <c r="Q712">
        <v>52.67</v>
      </c>
      <c r="R712">
        <v>2</v>
      </c>
      <c r="S712">
        <v>26.21</v>
      </c>
    </row>
    <row r="713" spans="1:19" x14ac:dyDescent="0.25">
      <c r="A713">
        <v>712</v>
      </c>
      <c r="B713" s="2">
        <v>44045</v>
      </c>
      <c r="C713">
        <v>2020</v>
      </c>
      <c r="D713" t="s">
        <v>27</v>
      </c>
      <c r="E713" s="2">
        <v>44053</v>
      </c>
      <c r="F713">
        <v>8</v>
      </c>
      <c r="G713" t="s">
        <v>33</v>
      </c>
      <c r="H713" t="s">
        <v>269</v>
      </c>
      <c r="I713" t="s">
        <v>325</v>
      </c>
      <c r="J713" t="s">
        <v>328</v>
      </c>
      <c r="K713" t="s">
        <v>335</v>
      </c>
      <c r="L713" t="s">
        <v>335</v>
      </c>
      <c r="M713" t="s">
        <v>345</v>
      </c>
      <c r="N713" t="s">
        <v>350</v>
      </c>
      <c r="O713" t="s">
        <v>354</v>
      </c>
      <c r="P713" t="s">
        <v>361</v>
      </c>
      <c r="Q713">
        <v>434.53</v>
      </c>
      <c r="R713">
        <v>6</v>
      </c>
      <c r="S713">
        <v>-6.19</v>
      </c>
    </row>
    <row r="714" spans="1:19" x14ac:dyDescent="0.25">
      <c r="A714">
        <v>713</v>
      </c>
      <c r="B714" s="2">
        <v>45547</v>
      </c>
      <c r="C714">
        <v>2024</v>
      </c>
      <c r="D714" t="s">
        <v>25</v>
      </c>
      <c r="E714" s="2">
        <v>45549</v>
      </c>
      <c r="F714">
        <v>2</v>
      </c>
      <c r="G714" t="s">
        <v>33</v>
      </c>
      <c r="H714" t="s">
        <v>50</v>
      </c>
      <c r="I714" t="s">
        <v>324</v>
      </c>
      <c r="J714" t="s">
        <v>327</v>
      </c>
      <c r="K714" t="s">
        <v>334</v>
      </c>
      <c r="L714" t="s">
        <v>334</v>
      </c>
      <c r="M714" t="s">
        <v>349</v>
      </c>
      <c r="N714" t="s">
        <v>352</v>
      </c>
      <c r="O714" t="s">
        <v>358</v>
      </c>
      <c r="P714" t="s">
        <v>359</v>
      </c>
      <c r="Q714">
        <v>92.79</v>
      </c>
      <c r="R714">
        <v>9</v>
      </c>
      <c r="S714">
        <v>-25.14</v>
      </c>
    </row>
    <row r="715" spans="1:19" x14ac:dyDescent="0.25">
      <c r="A715">
        <v>714</v>
      </c>
      <c r="B715" s="2">
        <v>45381</v>
      </c>
      <c r="C715">
        <v>2024</v>
      </c>
      <c r="D715" t="s">
        <v>24</v>
      </c>
      <c r="E715" s="2">
        <v>45385</v>
      </c>
      <c r="F715">
        <v>4</v>
      </c>
      <c r="G715" t="s">
        <v>31</v>
      </c>
      <c r="H715" t="s">
        <v>48</v>
      </c>
      <c r="I715" t="s">
        <v>325</v>
      </c>
      <c r="J715" t="s">
        <v>328</v>
      </c>
      <c r="K715" t="s">
        <v>332</v>
      </c>
      <c r="L715" t="s">
        <v>341</v>
      </c>
      <c r="M715" t="s">
        <v>348</v>
      </c>
      <c r="N715" t="s">
        <v>352</v>
      </c>
      <c r="O715" t="s">
        <v>358</v>
      </c>
      <c r="P715" t="s">
        <v>361</v>
      </c>
      <c r="Q715">
        <v>68.650000000000006</v>
      </c>
      <c r="R715">
        <v>10</v>
      </c>
      <c r="S715">
        <v>-15.53</v>
      </c>
    </row>
    <row r="716" spans="1:19" x14ac:dyDescent="0.25">
      <c r="A716">
        <v>715</v>
      </c>
      <c r="B716" s="2">
        <v>45662</v>
      </c>
      <c r="C716">
        <v>2025</v>
      </c>
      <c r="D716" t="s">
        <v>23</v>
      </c>
      <c r="E716" s="2">
        <v>45670</v>
      </c>
      <c r="F716">
        <v>8</v>
      </c>
      <c r="G716" t="s">
        <v>32</v>
      </c>
      <c r="H716" t="s">
        <v>107</v>
      </c>
      <c r="I716" t="s">
        <v>323</v>
      </c>
      <c r="J716" t="s">
        <v>328</v>
      </c>
      <c r="K716" t="s">
        <v>332</v>
      </c>
      <c r="L716" t="s">
        <v>341</v>
      </c>
      <c r="M716" t="s">
        <v>348</v>
      </c>
      <c r="N716" t="s">
        <v>350</v>
      </c>
      <c r="O716" t="s">
        <v>353</v>
      </c>
      <c r="P716" t="s">
        <v>360</v>
      </c>
      <c r="Q716">
        <v>141.13999999999999</v>
      </c>
      <c r="R716">
        <v>6</v>
      </c>
      <c r="S716">
        <v>57.26</v>
      </c>
    </row>
    <row r="717" spans="1:19" x14ac:dyDescent="0.25">
      <c r="A717">
        <v>716</v>
      </c>
      <c r="B717" s="2">
        <v>45456</v>
      </c>
      <c r="C717">
        <v>2024</v>
      </c>
      <c r="D717" t="s">
        <v>21</v>
      </c>
      <c r="E717" s="2">
        <v>45463</v>
      </c>
      <c r="F717">
        <v>7</v>
      </c>
      <c r="G717" t="s">
        <v>32</v>
      </c>
      <c r="H717" t="s">
        <v>214</v>
      </c>
      <c r="I717" t="s">
        <v>325</v>
      </c>
      <c r="J717" t="s">
        <v>326</v>
      </c>
      <c r="K717" t="s">
        <v>329</v>
      </c>
      <c r="L717" t="s">
        <v>338</v>
      </c>
      <c r="M717" t="s">
        <v>345</v>
      </c>
      <c r="N717" t="s">
        <v>352</v>
      </c>
      <c r="O717" t="s">
        <v>358</v>
      </c>
      <c r="P717" t="s">
        <v>362</v>
      </c>
      <c r="Q717">
        <v>52.39</v>
      </c>
      <c r="R717">
        <v>3</v>
      </c>
      <c r="S717">
        <v>-5.03</v>
      </c>
    </row>
    <row r="718" spans="1:19" x14ac:dyDescent="0.25">
      <c r="A718">
        <v>717</v>
      </c>
      <c r="B718" s="2">
        <v>45875</v>
      </c>
      <c r="C718">
        <v>2025</v>
      </c>
      <c r="D718" t="s">
        <v>27</v>
      </c>
      <c r="E718" s="2">
        <v>45876</v>
      </c>
      <c r="F718">
        <v>1</v>
      </c>
      <c r="G718" t="s">
        <v>32</v>
      </c>
      <c r="H718" t="s">
        <v>45</v>
      </c>
      <c r="I718" t="s">
        <v>324</v>
      </c>
      <c r="J718" t="s">
        <v>328</v>
      </c>
      <c r="K718" t="s">
        <v>332</v>
      </c>
      <c r="L718" t="s">
        <v>341</v>
      </c>
      <c r="M718" t="s">
        <v>348</v>
      </c>
      <c r="N718" t="s">
        <v>350</v>
      </c>
      <c r="O718" t="s">
        <v>353</v>
      </c>
      <c r="P718" t="s">
        <v>359</v>
      </c>
      <c r="Q718">
        <v>186.93</v>
      </c>
      <c r="R718">
        <v>3</v>
      </c>
      <c r="S718">
        <v>-34.36</v>
      </c>
    </row>
    <row r="719" spans="1:19" x14ac:dyDescent="0.25">
      <c r="A719">
        <v>718</v>
      </c>
      <c r="B719" s="2">
        <v>43856</v>
      </c>
      <c r="C719">
        <v>2020</v>
      </c>
      <c r="D719" t="s">
        <v>23</v>
      </c>
      <c r="E719" s="2">
        <v>43858</v>
      </c>
      <c r="F719">
        <v>2</v>
      </c>
      <c r="G719" t="s">
        <v>34</v>
      </c>
      <c r="H719" t="s">
        <v>221</v>
      </c>
      <c r="I719" t="s">
        <v>325</v>
      </c>
      <c r="J719" t="s">
        <v>326</v>
      </c>
      <c r="K719" t="s">
        <v>329</v>
      </c>
      <c r="L719" t="s">
        <v>338</v>
      </c>
      <c r="M719" t="s">
        <v>345</v>
      </c>
      <c r="N719" t="s">
        <v>351</v>
      </c>
      <c r="O719" t="s">
        <v>356</v>
      </c>
      <c r="P719" t="s">
        <v>362</v>
      </c>
      <c r="Q719">
        <v>121.87</v>
      </c>
      <c r="R719">
        <v>4</v>
      </c>
      <c r="S719">
        <v>51.52</v>
      </c>
    </row>
    <row r="720" spans="1:19" x14ac:dyDescent="0.25">
      <c r="A720">
        <v>719</v>
      </c>
      <c r="B720" s="2">
        <v>43887</v>
      </c>
      <c r="C720">
        <v>2020</v>
      </c>
      <c r="D720" t="s">
        <v>28</v>
      </c>
      <c r="E720" s="2">
        <v>43889</v>
      </c>
      <c r="F720">
        <v>2</v>
      </c>
      <c r="G720" t="s">
        <v>32</v>
      </c>
      <c r="H720" t="s">
        <v>194</v>
      </c>
      <c r="I720" t="s">
        <v>324</v>
      </c>
      <c r="J720" t="s">
        <v>328</v>
      </c>
      <c r="K720" t="s">
        <v>336</v>
      </c>
      <c r="L720" t="s">
        <v>343</v>
      </c>
      <c r="M720" t="s">
        <v>347</v>
      </c>
      <c r="N720" t="s">
        <v>351</v>
      </c>
      <c r="O720" t="s">
        <v>355</v>
      </c>
      <c r="P720" t="s">
        <v>360</v>
      </c>
      <c r="Q720">
        <v>354.92</v>
      </c>
      <c r="R720">
        <v>3</v>
      </c>
      <c r="S720">
        <v>-85.62</v>
      </c>
    </row>
    <row r="721" spans="1:19" x14ac:dyDescent="0.25">
      <c r="A721">
        <v>720</v>
      </c>
      <c r="B721" s="2">
        <v>45726</v>
      </c>
      <c r="C721">
        <v>2025</v>
      </c>
      <c r="D721" t="s">
        <v>24</v>
      </c>
      <c r="E721" s="2">
        <v>45734</v>
      </c>
      <c r="F721">
        <v>8</v>
      </c>
      <c r="G721" t="s">
        <v>34</v>
      </c>
      <c r="H721" t="s">
        <v>252</v>
      </c>
      <c r="I721" t="s">
        <v>324</v>
      </c>
      <c r="J721" t="s">
        <v>326</v>
      </c>
      <c r="K721" t="s">
        <v>333</v>
      </c>
      <c r="L721" t="s">
        <v>342</v>
      </c>
      <c r="M721" t="s">
        <v>345</v>
      </c>
      <c r="N721" t="s">
        <v>350</v>
      </c>
      <c r="O721" t="s">
        <v>353</v>
      </c>
      <c r="P721" t="s">
        <v>362</v>
      </c>
      <c r="Q721">
        <v>45.81</v>
      </c>
      <c r="R721">
        <v>5</v>
      </c>
      <c r="S721">
        <v>11.54</v>
      </c>
    </row>
    <row r="722" spans="1:19" x14ac:dyDescent="0.25">
      <c r="A722">
        <v>721</v>
      </c>
      <c r="B722" s="2">
        <v>44193</v>
      </c>
      <c r="C722">
        <v>2020</v>
      </c>
      <c r="D722" t="s">
        <v>29</v>
      </c>
      <c r="E722" s="2">
        <v>44200</v>
      </c>
      <c r="F722">
        <v>7</v>
      </c>
      <c r="G722" t="s">
        <v>32</v>
      </c>
      <c r="H722" t="s">
        <v>48</v>
      </c>
      <c r="I722" t="s">
        <v>323</v>
      </c>
      <c r="J722" t="s">
        <v>328</v>
      </c>
      <c r="K722" t="s">
        <v>332</v>
      </c>
      <c r="L722" t="s">
        <v>341</v>
      </c>
      <c r="M722" t="s">
        <v>348</v>
      </c>
      <c r="N722" t="s">
        <v>350</v>
      </c>
      <c r="O722" t="s">
        <v>353</v>
      </c>
      <c r="P722" t="s">
        <v>360</v>
      </c>
      <c r="Q722">
        <v>398.96</v>
      </c>
      <c r="R722">
        <v>4</v>
      </c>
      <c r="S722">
        <v>81.47</v>
      </c>
    </row>
    <row r="723" spans="1:19" x14ac:dyDescent="0.25">
      <c r="A723">
        <v>722</v>
      </c>
      <c r="B723" s="2">
        <v>45181</v>
      </c>
      <c r="C723">
        <v>2023</v>
      </c>
      <c r="D723" t="s">
        <v>25</v>
      </c>
      <c r="E723" s="2">
        <v>45184</v>
      </c>
      <c r="F723">
        <v>3</v>
      </c>
      <c r="G723" t="s">
        <v>31</v>
      </c>
      <c r="H723" t="s">
        <v>307</v>
      </c>
      <c r="I723" t="s">
        <v>323</v>
      </c>
      <c r="J723" t="s">
        <v>326</v>
      </c>
      <c r="K723" t="s">
        <v>333</v>
      </c>
      <c r="L723" t="s">
        <v>342</v>
      </c>
      <c r="M723" t="s">
        <v>345</v>
      </c>
      <c r="N723" t="s">
        <v>351</v>
      </c>
      <c r="O723" t="s">
        <v>356</v>
      </c>
      <c r="P723" t="s">
        <v>359</v>
      </c>
      <c r="Q723">
        <v>310.77999999999997</v>
      </c>
      <c r="R723">
        <v>2</v>
      </c>
      <c r="S723">
        <v>49.91</v>
      </c>
    </row>
    <row r="724" spans="1:19" x14ac:dyDescent="0.25">
      <c r="A724">
        <v>723</v>
      </c>
      <c r="B724" s="2">
        <v>45958</v>
      </c>
      <c r="C724">
        <v>2025</v>
      </c>
      <c r="D724" t="s">
        <v>22</v>
      </c>
      <c r="E724" s="2">
        <v>45967</v>
      </c>
      <c r="F724">
        <v>9</v>
      </c>
      <c r="G724" t="s">
        <v>31</v>
      </c>
      <c r="H724" t="s">
        <v>154</v>
      </c>
      <c r="I724" t="s">
        <v>325</v>
      </c>
      <c r="J724" t="s">
        <v>327</v>
      </c>
      <c r="K724" t="s">
        <v>330</v>
      </c>
      <c r="L724" t="s">
        <v>339</v>
      </c>
      <c r="M724" t="s">
        <v>346</v>
      </c>
      <c r="N724" t="s">
        <v>350</v>
      </c>
      <c r="O724" t="s">
        <v>353</v>
      </c>
      <c r="P724" t="s">
        <v>361</v>
      </c>
      <c r="Q724">
        <v>159.32</v>
      </c>
      <c r="R724">
        <v>1</v>
      </c>
      <c r="S724">
        <v>69.53</v>
      </c>
    </row>
    <row r="725" spans="1:19" x14ac:dyDescent="0.25">
      <c r="A725">
        <v>724</v>
      </c>
      <c r="B725" s="2">
        <v>44183</v>
      </c>
      <c r="C725">
        <v>2020</v>
      </c>
      <c r="D725" t="s">
        <v>29</v>
      </c>
      <c r="E725" s="2">
        <v>44193</v>
      </c>
      <c r="F725">
        <v>10</v>
      </c>
      <c r="G725" t="s">
        <v>33</v>
      </c>
      <c r="H725" t="s">
        <v>303</v>
      </c>
      <c r="I725" t="s">
        <v>324</v>
      </c>
      <c r="J725" t="s">
        <v>328</v>
      </c>
      <c r="K725" t="s">
        <v>335</v>
      </c>
      <c r="L725" t="s">
        <v>335</v>
      </c>
      <c r="M725" t="s">
        <v>345</v>
      </c>
      <c r="N725" t="s">
        <v>352</v>
      </c>
      <c r="O725" t="s">
        <v>357</v>
      </c>
      <c r="P725" t="s">
        <v>362</v>
      </c>
      <c r="Q725">
        <v>466.29</v>
      </c>
      <c r="R725">
        <v>4</v>
      </c>
      <c r="S725">
        <v>-1.78</v>
      </c>
    </row>
    <row r="726" spans="1:19" x14ac:dyDescent="0.25">
      <c r="A726">
        <v>725</v>
      </c>
      <c r="B726" s="2">
        <v>44878</v>
      </c>
      <c r="C726">
        <v>2022</v>
      </c>
      <c r="D726" t="s">
        <v>30</v>
      </c>
      <c r="E726" s="2">
        <v>44884</v>
      </c>
      <c r="F726">
        <v>6</v>
      </c>
      <c r="G726" t="s">
        <v>32</v>
      </c>
      <c r="H726" t="s">
        <v>100</v>
      </c>
      <c r="I726" t="s">
        <v>323</v>
      </c>
      <c r="J726" t="s">
        <v>326</v>
      </c>
      <c r="K726" t="s">
        <v>329</v>
      </c>
      <c r="L726" t="s">
        <v>338</v>
      </c>
      <c r="M726" t="s">
        <v>345</v>
      </c>
      <c r="N726" t="s">
        <v>352</v>
      </c>
      <c r="O726" t="s">
        <v>357</v>
      </c>
      <c r="P726" t="s">
        <v>360</v>
      </c>
      <c r="Q726">
        <v>479.67</v>
      </c>
      <c r="R726">
        <v>2</v>
      </c>
      <c r="S726">
        <v>168.11</v>
      </c>
    </row>
    <row r="727" spans="1:19" x14ac:dyDescent="0.25">
      <c r="A727">
        <v>726</v>
      </c>
      <c r="B727" s="2">
        <v>45329</v>
      </c>
      <c r="C727">
        <v>2024</v>
      </c>
      <c r="D727" t="s">
        <v>28</v>
      </c>
      <c r="E727" s="2">
        <v>45339</v>
      </c>
      <c r="F727">
        <v>10</v>
      </c>
      <c r="G727" t="s">
        <v>34</v>
      </c>
      <c r="H727" t="s">
        <v>186</v>
      </c>
      <c r="I727" t="s">
        <v>323</v>
      </c>
      <c r="J727" t="s">
        <v>326</v>
      </c>
      <c r="K727" t="s">
        <v>329</v>
      </c>
      <c r="L727" t="s">
        <v>338</v>
      </c>
      <c r="M727" t="s">
        <v>345</v>
      </c>
      <c r="N727" t="s">
        <v>351</v>
      </c>
      <c r="O727" t="s">
        <v>355</v>
      </c>
      <c r="P727" t="s">
        <v>361</v>
      </c>
      <c r="Q727">
        <v>241.4</v>
      </c>
      <c r="R727">
        <v>7</v>
      </c>
      <c r="S727">
        <v>74.83</v>
      </c>
    </row>
    <row r="728" spans="1:19" x14ac:dyDescent="0.25">
      <c r="A728">
        <v>727</v>
      </c>
      <c r="B728" s="2">
        <v>44448</v>
      </c>
      <c r="C728">
        <v>2021</v>
      </c>
      <c r="D728" t="s">
        <v>25</v>
      </c>
      <c r="E728" s="2">
        <v>44452</v>
      </c>
      <c r="F728">
        <v>4</v>
      </c>
      <c r="G728" t="s">
        <v>34</v>
      </c>
      <c r="H728" t="s">
        <v>230</v>
      </c>
      <c r="I728" t="s">
        <v>325</v>
      </c>
      <c r="J728" t="s">
        <v>328</v>
      </c>
      <c r="K728" t="s">
        <v>336</v>
      </c>
      <c r="L728" t="s">
        <v>343</v>
      </c>
      <c r="M728" t="s">
        <v>347</v>
      </c>
      <c r="N728" t="s">
        <v>350</v>
      </c>
      <c r="O728" t="s">
        <v>353</v>
      </c>
      <c r="P728" t="s">
        <v>359</v>
      </c>
      <c r="Q728">
        <v>403.56</v>
      </c>
      <c r="R728">
        <v>5</v>
      </c>
      <c r="S728">
        <v>-37.020000000000003</v>
      </c>
    </row>
    <row r="729" spans="1:19" x14ac:dyDescent="0.25">
      <c r="A729">
        <v>728</v>
      </c>
      <c r="B729" s="2">
        <v>44874</v>
      </c>
      <c r="C729">
        <v>2022</v>
      </c>
      <c r="D729" t="s">
        <v>30</v>
      </c>
      <c r="E729" s="2">
        <v>44877</v>
      </c>
      <c r="F729">
        <v>3</v>
      </c>
      <c r="G729" t="s">
        <v>33</v>
      </c>
      <c r="H729" t="s">
        <v>104</v>
      </c>
      <c r="I729" t="s">
        <v>325</v>
      </c>
      <c r="J729" t="s">
        <v>327</v>
      </c>
      <c r="K729" t="s">
        <v>334</v>
      </c>
      <c r="L729" t="s">
        <v>334</v>
      </c>
      <c r="M729" t="s">
        <v>349</v>
      </c>
      <c r="N729" t="s">
        <v>352</v>
      </c>
      <c r="O729" t="s">
        <v>357</v>
      </c>
      <c r="P729" t="s">
        <v>360</v>
      </c>
      <c r="Q729">
        <v>437.22</v>
      </c>
      <c r="R729">
        <v>1</v>
      </c>
      <c r="S729">
        <v>72.37</v>
      </c>
    </row>
    <row r="730" spans="1:19" x14ac:dyDescent="0.25">
      <c r="A730">
        <v>729</v>
      </c>
      <c r="B730" s="2">
        <v>44570</v>
      </c>
      <c r="C730">
        <v>2022</v>
      </c>
      <c r="D730" t="s">
        <v>23</v>
      </c>
      <c r="E730" s="2">
        <v>44575</v>
      </c>
      <c r="F730">
        <v>5</v>
      </c>
      <c r="G730" t="s">
        <v>34</v>
      </c>
      <c r="H730" t="s">
        <v>58</v>
      </c>
      <c r="I730" t="s">
        <v>323</v>
      </c>
      <c r="J730" t="s">
        <v>327</v>
      </c>
      <c r="K730" t="s">
        <v>334</v>
      </c>
      <c r="L730" t="s">
        <v>334</v>
      </c>
      <c r="M730" t="s">
        <v>349</v>
      </c>
      <c r="N730" t="s">
        <v>350</v>
      </c>
      <c r="O730" t="s">
        <v>354</v>
      </c>
      <c r="P730" t="s">
        <v>362</v>
      </c>
      <c r="Q730">
        <v>71.319999999999993</v>
      </c>
      <c r="R730">
        <v>1</v>
      </c>
      <c r="S730">
        <v>9.7200000000000006</v>
      </c>
    </row>
    <row r="731" spans="1:19" x14ac:dyDescent="0.25">
      <c r="A731">
        <v>730</v>
      </c>
      <c r="B731" s="2">
        <v>44129</v>
      </c>
      <c r="C731">
        <v>2020</v>
      </c>
      <c r="D731" t="s">
        <v>22</v>
      </c>
      <c r="E731" s="2">
        <v>44134</v>
      </c>
      <c r="F731">
        <v>5</v>
      </c>
      <c r="G731" t="s">
        <v>31</v>
      </c>
      <c r="H731" t="s">
        <v>299</v>
      </c>
      <c r="I731" t="s">
        <v>324</v>
      </c>
      <c r="J731" t="s">
        <v>327</v>
      </c>
      <c r="K731" t="s">
        <v>334</v>
      </c>
      <c r="L731" t="s">
        <v>334</v>
      </c>
      <c r="M731" t="s">
        <v>349</v>
      </c>
      <c r="N731" t="s">
        <v>351</v>
      </c>
      <c r="O731" t="s">
        <v>356</v>
      </c>
      <c r="P731" t="s">
        <v>361</v>
      </c>
      <c r="Q731">
        <v>413.57</v>
      </c>
      <c r="R731">
        <v>5</v>
      </c>
      <c r="S731">
        <v>154.55000000000001</v>
      </c>
    </row>
    <row r="732" spans="1:19" x14ac:dyDescent="0.25">
      <c r="A732">
        <v>731</v>
      </c>
      <c r="B732" s="2">
        <v>44970</v>
      </c>
      <c r="C732">
        <v>2023</v>
      </c>
      <c r="D732" t="s">
        <v>28</v>
      </c>
      <c r="E732" s="2">
        <v>44973</v>
      </c>
      <c r="F732">
        <v>3</v>
      </c>
      <c r="G732" t="s">
        <v>31</v>
      </c>
      <c r="H732" t="s">
        <v>118</v>
      </c>
      <c r="I732" t="s">
        <v>325</v>
      </c>
      <c r="J732" t="s">
        <v>327</v>
      </c>
      <c r="K732" t="s">
        <v>337</v>
      </c>
      <c r="L732" t="s">
        <v>344</v>
      </c>
      <c r="M732" t="s">
        <v>347</v>
      </c>
      <c r="N732" t="s">
        <v>351</v>
      </c>
      <c r="O732" t="s">
        <v>356</v>
      </c>
      <c r="P732" t="s">
        <v>359</v>
      </c>
      <c r="Q732">
        <v>120.72</v>
      </c>
      <c r="R732">
        <v>7</v>
      </c>
      <c r="S732">
        <v>-0.56999999999999995</v>
      </c>
    </row>
    <row r="733" spans="1:19" x14ac:dyDescent="0.25">
      <c r="A733">
        <v>732</v>
      </c>
      <c r="B733" s="2">
        <v>43884</v>
      </c>
      <c r="C733">
        <v>2020</v>
      </c>
      <c r="D733" t="s">
        <v>28</v>
      </c>
      <c r="E733" s="2">
        <v>43892</v>
      </c>
      <c r="F733">
        <v>8</v>
      </c>
      <c r="G733" t="s">
        <v>33</v>
      </c>
      <c r="H733" t="s">
        <v>264</v>
      </c>
      <c r="I733" t="s">
        <v>325</v>
      </c>
      <c r="J733" t="s">
        <v>327</v>
      </c>
      <c r="K733" t="s">
        <v>330</v>
      </c>
      <c r="L733" t="s">
        <v>339</v>
      </c>
      <c r="M733" t="s">
        <v>346</v>
      </c>
      <c r="N733" t="s">
        <v>352</v>
      </c>
      <c r="O733" t="s">
        <v>357</v>
      </c>
      <c r="P733" t="s">
        <v>360</v>
      </c>
      <c r="Q733">
        <v>231.48</v>
      </c>
      <c r="R733">
        <v>8</v>
      </c>
      <c r="S733">
        <v>-30.69</v>
      </c>
    </row>
    <row r="734" spans="1:19" x14ac:dyDescent="0.25">
      <c r="A734">
        <v>733</v>
      </c>
      <c r="B734" s="2">
        <v>45083</v>
      </c>
      <c r="C734">
        <v>2023</v>
      </c>
      <c r="D734" t="s">
        <v>21</v>
      </c>
      <c r="E734" s="2">
        <v>45093</v>
      </c>
      <c r="F734">
        <v>10</v>
      </c>
      <c r="G734" t="s">
        <v>31</v>
      </c>
      <c r="H734" t="s">
        <v>172</v>
      </c>
      <c r="I734" t="s">
        <v>324</v>
      </c>
      <c r="J734" t="s">
        <v>326</v>
      </c>
      <c r="K734" t="s">
        <v>333</v>
      </c>
      <c r="L734" t="s">
        <v>342</v>
      </c>
      <c r="M734" t="s">
        <v>345</v>
      </c>
      <c r="N734" t="s">
        <v>350</v>
      </c>
      <c r="O734" t="s">
        <v>354</v>
      </c>
      <c r="P734" t="s">
        <v>360</v>
      </c>
      <c r="Q734">
        <v>441.14</v>
      </c>
      <c r="R734">
        <v>6</v>
      </c>
      <c r="S734">
        <v>185.35</v>
      </c>
    </row>
    <row r="735" spans="1:19" x14ac:dyDescent="0.25">
      <c r="A735">
        <v>734</v>
      </c>
      <c r="B735" s="2">
        <v>44465</v>
      </c>
      <c r="C735">
        <v>2021</v>
      </c>
      <c r="D735" t="s">
        <v>25</v>
      </c>
      <c r="E735" s="2">
        <v>44467</v>
      </c>
      <c r="F735">
        <v>2</v>
      </c>
      <c r="G735" t="s">
        <v>34</v>
      </c>
      <c r="H735" t="s">
        <v>188</v>
      </c>
      <c r="I735" t="s">
        <v>324</v>
      </c>
      <c r="J735" t="s">
        <v>326</v>
      </c>
      <c r="K735" t="s">
        <v>329</v>
      </c>
      <c r="L735" t="s">
        <v>338</v>
      </c>
      <c r="M735" t="s">
        <v>345</v>
      </c>
      <c r="N735" t="s">
        <v>352</v>
      </c>
      <c r="O735" t="s">
        <v>358</v>
      </c>
      <c r="P735" t="s">
        <v>362</v>
      </c>
      <c r="Q735">
        <v>64.12</v>
      </c>
      <c r="R735">
        <v>5</v>
      </c>
      <c r="S735">
        <v>-1.68</v>
      </c>
    </row>
    <row r="736" spans="1:19" x14ac:dyDescent="0.25">
      <c r="A736">
        <v>735</v>
      </c>
      <c r="B736" s="2">
        <v>44596</v>
      </c>
      <c r="C736">
        <v>2022</v>
      </c>
      <c r="D736" t="s">
        <v>28</v>
      </c>
      <c r="E736" s="2">
        <v>44599</v>
      </c>
      <c r="F736">
        <v>3</v>
      </c>
      <c r="G736" t="s">
        <v>34</v>
      </c>
      <c r="H736" t="s">
        <v>133</v>
      </c>
      <c r="I736" t="s">
        <v>323</v>
      </c>
      <c r="J736" t="s">
        <v>327</v>
      </c>
      <c r="K736" t="s">
        <v>337</v>
      </c>
      <c r="L736" t="s">
        <v>344</v>
      </c>
      <c r="M736" t="s">
        <v>347</v>
      </c>
      <c r="N736" t="s">
        <v>350</v>
      </c>
      <c r="O736" t="s">
        <v>354</v>
      </c>
      <c r="P736" t="s">
        <v>361</v>
      </c>
      <c r="Q736">
        <v>250.28</v>
      </c>
      <c r="R736">
        <v>9</v>
      </c>
      <c r="S736">
        <v>102.59</v>
      </c>
    </row>
    <row r="737" spans="1:19" x14ac:dyDescent="0.25">
      <c r="A737">
        <v>736</v>
      </c>
      <c r="B737" s="2">
        <v>45135</v>
      </c>
      <c r="C737">
        <v>2023</v>
      </c>
      <c r="D737" t="s">
        <v>20</v>
      </c>
      <c r="E737" s="2">
        <v>45141</v>
      </c>
      <c r="F737">
        <v>6</v>
      </c>
      <c r="G737" t="s">
        <v>32</v>
      </c>
      <c r="H737" t="s">
        <v>140</v>
      </c>
      <c r="I737" t="s">
        <v>323</v>
      </c>
      <c r="J737" t="s">
        <v>327</v>
      </c>
      <c r="K737" t="s">
        <v>334</v>
      </c>
      <c r="L737" t="s">
        <v>334</v>
      </c>
      <c r="M737" t="s">
        <v>349</v>
      </c>
      <c r="N737" t="s">
        <v>352</v>
      </c>
      <c r="O737" t="s">
        <v>358</v>
      </c>
      <c r="P737" t="s">
        <v>361</v>
      </c>
      <c r="Q737">
        <v>149.44999999999999</v>
      </c>
      <c r="R737">
        <v>1</v>
      </c>
      <c r="S737">
        <v>58.47</v>
      </c>
    </row>
    <row r="738" spans="1:19" x14ac:dyDescent="0.25">
      <c r="A738">
        <v>737</v>
      </c>
      <c r="B738" s="2">
        <v>44610</v>
      </c>
      <c r="C738">
        <v>2022</v>
      </c>
      <c r="D738" t="s">
        <v>28</v>
      </c>
      <c r="E738" s="2">
        <v>44619</v>
      </c>
      <c r="F738">
        <v>9</v>
      </c>
      <c r="G738" t="s">
        <v>33</v>
      </c>
      <c r="H738" t="s">
        <v>288</v>
      </c>
      <c r="I738" t="s">
        <v>323</v>
      </c>
      <c r="J738" t="s">
        <v>328</v>
      </c>
      <c r="K738" t="s">
        <v>335</v>
      </c>
      <c r="L738" t="s">
        <v>335</v>
      </c>
      <c r="M738" t="s">
        <v>345</v>
      </c>
      <c r="N738" t="s">
        <v>351</v>
      </c>
      <c r="O738" t="s">
        <v>356</v>
      </c>
      <c r="P738" t="s">
        <v>359</v>
      </c>
      <c r="Q738">
        <v>192.28</v>
      </c>
      <c r="R738">
        <v>4</v>
      </c>
      <c r="S738">
        <v>44.05</v>
      </c>
    </row>
    <row r="739" spans="1:19" x14ac:dyDescent="0.25">
      <c r="A739">
        <v>738</v>
      </c>
      <c r="B739" s="2">
        <v>44960</v>
      </c>
      <c r="C739">
        <v>2023</v>
      </c>
      <c r="D739" t="s">
        <v>28</v>
      </c>
      <c r="E739" s="2">
        <v>44969</v>
      </c>
      <c r="F739">
        <v>9</v>
      </c>
      <c r="G739" t="s">
        <v>31</v>
      </c>
      <c r="H739" t="s">
        <v>125</v>
      </c>
      <c r="I739" t="s">
        <v>324</v>
      </c>
      <c r="J739" t="s">
        <v>328</v>
      </c>
      <c r="K739" t="s">
        <v>332</v>
      </c>
      <c r="L739" t="s">
        <v>341</v>
      </c>
      <c r="M739" t="s">
        <v>348</v>
      </c>
      <c r="N739" t="s">
        <v>350</v>
      </c>
      <c r="O739" t="s">
        <v>353</v>
      </c>
      <c r="P739" t="s">
        <v>362</v>
      </c>
      <c r="Q739">
        <v>493.27</v>
      </c>
      <c r="R739">
        <v>7</v>
      </c>
      <c r="S739">
        <v>-79.36</v>
      </c>
    </row>
    <row r="740" spans="1:19" x14ac:dyDescent="0.25">
      <c r="A740">
        <v>739</v>
      </c>
      <c r="B740" s="2">
        <v>45432</v>
      </c>
      <c r="C740">
        <v>2024</v>
      </c>
      <c r="D740" t="s">
        <v>19</v>
      </c>
      <c r="E740" s="2">
        <v>45433</v>
      </c>
      <c r="F740">
        <v>1</v>
      </c>
      <c r="G740" t="s">
        <v>34</v>
      </c>
      <c r="H740" t="s">
        <v>149</v>
      </c>
      <c r="I740" t="s">
        <v>325</v>
      </c>
      <c r="J740" t="s">
        <v>327</v>
      </c>
      <c r="K740" t="s">
        <v>337</v>
      </c>
      <c r="L740" t="s">
        <v>344</v>
      </c>
      <c r="M740" t="s">
        <v>347</v>
      </c>
      <c r="N740" t="s">
        <v>351</v>
      </c>
      <c r="O740" t="s">
        <v>356</v>
      </c>
      <c r="P740" t="s">
        <v>359</v>
      </c>
      <c r="Q740">
        <v>184.83</v>
      </c>
      <c r="R740">
        <v>7</v>
      </c>
      <c r="S740">
        <v>66.290000000000006</v>
      </c>
    </row>
    <row r="741" spans="1:19" x14ac:dyDescent="0.25">
      <c r="A741">
        <v>740</v>
      </c>
      <c r="B741" s="2">
        <v>45502</v>
      </c>
      <c r="C741">
        <v>2024</v>
      </c>
      <c r="D741" t="s">
        <v>20</v>
      </c>
      <c r="E741" s="2">
        <v>45508</v>
      </c>
      <c r="F741">
        <v>6</v>
      </c>
      <c r="G741" t="s">
        <v>32</v>
      </c>
      <c r="H741" t="s">
        <v>300</v>
      </c>
      <c r="I741" t="s">
        <v>323</v>
      </c>
      <c r="J741" t="s">
        <v>326</v>
      </c>
      <c r="K741" t="s">
        <v>331</v>
      </c>
      <c r="L741" t="s">
        <v>340</v>
      </c>
      <c r="M741" t="s">
        <v>347</v>
      </c>
      <c r="N741" t="s">
        <v>350</v>
      </c>
      <c r="O741" t="s">
        <v>354</v>
      </c>
      <c r="P741" t="s">
        <v>361</v>
      </c>
      <c r="Q741">
        <v>172.03</v>
      </c>
      <c r="R741">
        <v>6</v>
      </c>
      <c r="S741">
        <v>-27.92</v>
      </c>
    </row>
    <row r="742" spans="1:19" x14ac:dyDescent="0.25">
      <c r="A742">
        <v>741</v>
      </c>
      <c r="B742" s="2">
        <v>44811</v>
      </c>
      <c r="C742">
        <v>2022</v>
      </c>
      <c r="D742" t="s">
        <v>25</v>
      </c>
      <c r="E742" s="2">
        <v>44819</v>
      </c>
      <c r="F742">
        <v>8</v>
      </c>
      <c r="G742" t="s">
        <v>33</v>
      </c>
      <c r="H742" t="s">
        <v>92</v>
      </c>
      <c r="I742" t="s">
        <v>324</v>
      </c>
      <c r="J742" t="s">
        <v>327</v>
      </c>
      <c r="K742" t="s">
        <v>330</v>
      </c>
      <c r="L742" t="s">
        <v>339</v>
      </c>
      <c r="M742" t="s">
        <v>346</v>
      </c>
      <c r="N742" t="s">
        <v>351</v>
      </c>
      <c r="O742" t="s">
        <v>355</v>
      </c>
      <c r="P742" t="s">
        <v>362</v>
      </c>
      <c r="Q742">
        <v>302.05</v>
      </c>
      <c r="R742">
        <v>10</v>
      </c>
      <c r="S742">
        <v>-14.41</v>
      </c>
    </row>
    <row r="743" spans="1:19" x14ac:dyDescent="0.25">
      <c r="A743">
        <v>742</v>
      </c>
      <c r="B743" s="2">
        <v>45810</v>
      </c>
      <c r="C743">
        <v>2025</v>
      </c>
      <c r="D743" t="s">
        <v>21</v>
      </c>
      <c r="E743" s="2">
        <v>45813</v>
      </c>
      <c r="F743">
        <v>3</v>
      </c>
      <c r="G743" t="s">
        <v>34</v>
      </c>
      <c r="H743" t="s">
        <v>75</v>
      </c>
      <c r="I743" t="s">
        <v>323</v>
      </c>
      <c r="J743" t="s">
        <v>326</v>
      </c>
      <c r="K743" t="s">
        <v>329</v>
      </c>
      <c r="L743" t="s">
        <v>338</v>
      </c>
      <c r="M743" t="s">
        <v>345</v>
      </c>
      <c r="N743" t="s">
        <v>352</v>
      </c>
      <c r="O743" t="s">
        <v>357</v>
      </c>
      <c r="P743" t="s">
        <v>362</v>
      </c>
      <c r="Q743">
        <v>231.6</v>
      </c>
      <c r="R743">
        <v>4</v>
      </c>
      <c r="S743">
        <v>103.33</v>
      </c>
    </row>
    <row r="744" spans="1:19" x14ac:dyDescent="0.25">
      <c r="A744">
        <v>743</v>
      </c>
      <c r="B744" s="2">
        <v>43862</v>
      </c>
      <c r="C744">
        <v>2020</v>
      </c>
      <c r="D744" t="s">
        <v>28</v>
      </c>
      <c r="E744" s="2">
        <v>43866</v>
      </c>
      <c r="F744">
        <v>4</v>
      </c>
      <c r="G744" t="s">
        <v>32</v>
      </c>
      <c r="H744" t="s">
        <v>294</v>
      </c>
      <c r="I744" t="s">
        <v>324</v>
      </c>
      <c r="J744" t="s">
        <v>326</v>
      </c>
      <c r="K744" t="s">
        <v>333</v>
      </c>
      <c r="L744" t="s">
        <v>342</v>
      </c>
      <c r="M744" t="s">
        <v>345</v>
      </c>
      <c r="N744" t="s">
        <v>351</v>
      </c>
      <c r="O744" t="s">
        <v>355</v>
      </c>
      <c r="P744" t="s">
        <v>361</v>
      </c>
      <c r="Q744">
        <v>310.14</v>
      </c>
      <c r="R744">
        <v>10</v>
      </c>
      <c r="S744">
        <v>-64.52</v>
      </c>
    </row>
    <row r="745" spans="1:19" x14ac:dyDescent="0.25">
      <c r="A745">
        <v>744</v>
      </c>
      <c r="B745" s="2">
        <v>45887</v>
      </c>
      <c r="C745">
        <v>2025</v>
      </c>
      <c r="D745" t="s">
        <v>27</v>
      </c>
      <c r="E745" s="2">
        <v>45893</v>
      </c>
      <c r="F745">
        <v>6</v>
      </c>
      <c r="G745" t="s">
        <v>33</v>
      </c>
      <c r="H745" t="s">
        <v>282</v>
      </c>
      <c r="I745" t="s">
        <v>325</v>
      </c>
      <c r="J745" t="s">
        <v>328</v>
      </c>
      <c r="K745" t="s">
        <v>332</v>
      </c>
      <c r="L745" t="s">
        <v>341</v>
      </c>
      <c r="M745" t="s">
        <v>348</v>
      </c>
      <c r="N745" t="s">
        <v>350</v>
      </c>
      <c r="O745" t="s">
        <v>354</v>
      </c>
      <c r="P745" t="s">
        <v>361</v>
      </c>
      <c r="Q745">
        <v>239.74</v>
      </c>
      <c r="R745">
        <v>2</v>
      </c>
      <c r="S745">
        <v>-25.62</v>
      </c>
    </row>
    <row r="746" spans="1:19" x14ac:dyDescent="0.25">
      <c r="A746">
        <v>745</v>
      </c>
      <c r="B746" s="2">
        <v>44113</v>
      </c>
      <c r="C746">
        <v>2020</v>
      </c>
      <c r="D746" t="s">
        <v>22</v>
      </c>
      <c r="E746" s="2">
        <v>44115</v>
      </c>
      <c r="F746">
        <v>2</v>
      </c>
      <c r="G746" t="s">
        <v>32</v>
      </c>
      <c r="H746" t="s">
        <v>109</v>
      </c>
      <c r="I746" t="s">
        <v>325</v>
      </c>
      <c r="J746" t="s">
        <v>327</v>
      </c>
      <c r="K746" t="s">
        <v>334</v>
      </c>
      <c r="L746" t="s">
        <v>334</v>
      </c>
      <c r="M746" t="s">
        <v>349</v>
      </c>
      <c r="N746" t="s">
        <v>350</v>
      </c>
      <c r="O746" t="s">
        <v>353</v>
      </c>
      <c r="P746" t="s">
        <v>359</v>
      </c>
      <c r="Q746">
        <v>77.599999999999994</v>
      </c>
      <c r="R746">
        <v>6</v>
      </c>
      <c r="S746">
        <v>-18.059999999999999</v>
      </c>
    </row>
    <row r="747" spans="1:19" x14ac:dyDescent="0.25">
      <c r="A747">
        <v>746</v>
      </c>
      <c r="B747" s="2">
        <v>44387</v>
      </c>
      <c r="C747">
        <v>2021</v>
      </c>
      <c r="D747" t="s">
        <v>20</v>
      </c>
      <c r="E747" s="2">
        <v>44397</v>
      </c>
      <c r="F747">
        <v>10</v>
      </c>
      <c r="G747" t="s">
        <v>31</v>
      </c>
      <c r="H747" t="s">
        <v>173</v>
      </c>
      <c r="I747" t="s">
        <v>325</v>
      </c>
      <c r="J747" t="s">
        <v>327</v>
      </c>
      <c r="K747" t="s">
        <v>337</v>
      </c>
      <c r="L747" t="s">
        <v>344</v>
      </c>
      <c r="M747" t="s">
        <v>347</v>
      </c>
      <c r="N747" t="s">
        <v>350</v>
      </c>
      <c r="O747" t="s">
        <v>354</v>
      </c>
      <c r="P747" t="s">
        <v>360</v>
      </c>
      <c r="Q747">
        <v>269.12</v>
      </c>
      <c r="R747">
        <v>2</v>
      </c>
      <c r="S747">
        <v>100.59</v>
      </c>
    </row>
    <row r="748" spans="1:19" x14ac:dyDescent="0.25">
      <c r="A748">
        <v>747</v>
      </c>
      <c r="B748" s="2">
        <v>45615</v>
      </c>
      <c r="C748">
        <v>2024</v>
      </c>
      <c r="D748" t="s">
        <v>30</v>
      </c>
      <c r="E748" s="2">
        <v>45618</v>
      </c>
      <c r="F748">
        <v>3</v>
      </c>
      <c r="G748" t="s">
        <v>34</v>
      </c>
      <c r="H748" t="s">
        <v>167</v>
      </c>
      <c r="I748" t="s">
        <v>325</v>
      </c>
      <c r="J748" t="s">
        <v>326</v>
      </c>
      <c r="K748" t="s">
        <v>331</v>
      </c>
      <c r="L748" t="s">
        <v>340</v>
      </c>
      <c r="M748" t="s">
        <v>347</v>
      </c>
      <c r="N748" t="s">
        <v>351</v>
      </c>
      <c r="O748" t="s">
        <v>356</v>
      </c>
      <c r="P748" t="s">
        <v>359</v>
      </c>
      <c r="Q748">
        <v>78.989999999999995</v>
      </c>
      <c r="R748">
        <v>5</v>
      </c>
      <c r="S748">
        <v>-13.87</v>
      </c>
    </row>
    <row r="749" spans="1:19" x14ac:dyDescent="0.25">
      <c r="A749">
        <v>748</v>
      </c>
      <c r="B749" s="2">
        <v>44886</v>
      </c>
      <c r="C749">
        <v>2022</v>
      </c>
      <c r="D749" t="s">
        <v>30</v>
      </c>
      <c r="E749" s="2">
        <v>44891</v>
      </c>
      <c r="F749">
        <v>5</v>
      </c>
      <c r="G749" t="s">
        <v>34</v>
      </c>
      <c r="H749" t="s">
        <v>292</v>
      </c>
      <c r="I749" t="s">
        <v>325</v>
      </c>
      <c r="J749" t="s">
        <v>327</v>
      </c>
      <c r="K749" t="s">
        <v>330</v>
      </c>
      <c r="L749" t="s">
        <v>339</v>
      </c>
      <c r="M749" t="s">
        <v>346</v>
      </c>
      <c r="N749" t="s">
        <v>350</v>
      </c>
      <c r="O749" t="s">
        <v>353</v>
      </c>
      <c r="P749" t="s">
        <v>362</v>
      </c>
      <c r="Q749">
        <v>195.79</v>
      </c>
      <c r="R749">
        <v>1</v>
      </c>
      <c r="S749">
        <v>-39.4</v>
      </c>
    </row>
    <row r="750" spans="1:19" x14ac:dyDescent="0.25">
      <c r="A750">
        <v>749</v>
      </c>
      <c r="B750" s="2">
        <v>44293</v>
      </c>
      <c r="C750">
        <v>2021</v>
      </c>
      <c r="D750" t="s">
        <v>26</v>
      </c>
      <c r="E750" s="2">
        <v>44300</v>
      </c>
      <c r="F750">
        <v>7</v>
      </c>
      <c r="G750" t="s">
        <v>31</v>
      </c>
      <c r="H750" t="s">
        <v>283</v>
      </c>
      <c r="I750" t="s">
        <v>325</v>
      </c>
      <c r="J750" t="s">
        <v>328</v>
      </c>
      <c r="K750" t="s">
        <v>335</v>
      </c>
      <c r="L750" t="s">
        <v>335</v>
      </c>
      <c r="M750" t="s">
        <v>345</v>
      </c>
      <c r="N750" t="s">
        <v>352</v>
      </c>
      <c r="O750" t="s">
        <v>358</v>
      </c>
      <c r="P750" t="s">
        <v>359</v>
      </c>
      <c r="Q750">
        <v>70.08</v>
      </c>
      <c r="R750">
        <v>6</v>
      </c>
      <c r="S750">
        <v>19.36</v>
      </c>
    </row>
    <row r="751" spans="1:19" x14ac:dyDescent="0.25">
      <c r="A751">
        <v>750</v>
      </c>
      <c r="B751" s="2">
        <v>44756</v>
      </c>
      <c r="C751">
        <v>2022</v>
      </c>
      <c r="D751" t="s">
        <v>20</v>
      </c>
      <c r="E751" s="2">
        <v>44758</v>
      </c>
      <c r="F751">
        <v>2</v>
      </c>
      <c r="G751" t="s">
        <v>32</v>
      </c>
      <c r="H751" t="s">
        <v>141</v>
      </c>
      <c r="I751" t="s">
        <v>324</v>
      </c>
      <c r="J751" t="s">
        <v>328</v>
      </c>
      <c r="K751" t="s">
        <v>332</v>
      </c>
      <c r="L751" t="s">
        <v>341</v>
      </c>
      <c r="M751" t="s">
        <v>348</v>
      </c>
      <c r="N751" t="s">
        <v>351</v>
      </c>
      <c r="O751" t="s">
        <v>355</v>
      </c>
      <c r="P751" t="s">
        <v>359</v>
      </c>
      <c r="Q751">
        <v>355.29</v>
      </c>
      <c r="R751">
        <v>9</v>
      </c>
      <c r="S751">
        <v>27.84</v>
      </c>
    </row>
    <row r="752" spans="1:19" x14ac:dyDescent="0.25">
      <c r="A752">
        <v>751</v>
      </c>
      <c r="B752" s="2">
        <v>45262</v>
      </c>
      <c r="C752">
        <v>2023</v>
      </c>
      <c r="D752" t="s">
        <v>29</v>
      </c>
      <c r="E752" s="2">
        <v>45263</v>
      </c>
      <c r="F752">
        <v>1</v>
      </c>
      <c r="G752" t="s">
        <v>34</v>
      </c>
      <c r="H752" t="s">
        <v>224</v>
      </c>
      <c r="I752" t="s">
        <v>325</v>
      </c>
      <c r="J752" t="s">
        <v>328</v>
      </c>
      <c r="K752" t="s">
        <v>336</v>
      </c>
      <c r="L752" t="s">
        <v>343</v>
      </c>
      <c r="M752" t="s">
        <v>347</v>
      </c>
      <c r="N752" t="s">
        <v>351</v>
      </c>
      <c r="O752" t="s">
        <v>356</v>
      </c>
      <c r="P752" t="s">
        <v>361</v>
      </c>
      <c r="Q752">
        <v>311.74</v>
      </c>
      <c r="R752">
        <v>6</v>
      </c>
      <c r="S752">
        <v>-43.32</v>
      </c>
    </row>
    <row r="753" spans="1:19" x14ac:dyDescent="0.25">
      <c r="A753">
        <v>752</v>
      </c>
      <c r="B753" s="2">
        <v>45035</v>
      </c>
      <c r="C753">
        <v>2023</v>
      </c>
      <c r="D753" t="s">
        <v>26</v>
      </c>
      <c r="E753" s="2">
        <v>45036</v>
      </c>
      <c r="F753">
        <v>1</v>
      </c>
      <c r="G753" t="s">
        <v>32</v>
      </c>
      <c r="H753" t="s">
        <v>308</v>
      </c>
      <c r="I753" t="s">
        <v>323</v>
      </c>
      <c r="J753" t="s">
        <v>326</v>
      </c>
      <c r="K753" t="s">
        <v>333</v>
      </c>
      <c r="L753" t="s">
        <v>342</v>
      </c>
      <c r="M753" t="s">
        <v>345</v>
      </c>
      <c r="N753" t="s">
        <v>350</v>
      </c>
      <c r="O753" t="s">
        <v>354</v>
      </c>
      <c r="P753" t="s">
        <v>360</v>
      </c>
      <c r="Q753">
        <v>406.27</v>
      </c>
      <c r="R753">
        <v>5</v>
      </c>
      <c r="S753">
        <v>-111.44</v>
      </c>
    </row>
    <row r="754" spans="1:19" x14ac:dyDescent="0.25">
      <c r="A754">
        <v>753</v>
      </c>
      <c r="B754" s="2">
        <v>45320</v>
      </c>
      <c r="C754">
        <v>2024</v>
      </c>
      <c r="D754" t="s">
        <v>23</v>
      </c>
      <c r="E754" s="2">
        <v>45322</v>
      </c>
      <c r="F754">
        <v>2</v>
      </c>
      <c r="G754" t="s">
        <v>34</v>
      </c>
      <c r="H754" t="s">
        <v>78</v>
      </c>
      <c r="I754" t="s">
        <v>323</v>
      </c>
      <c r="J754" t="s">
        <v>326</v>
      </c>
      <c r="K754" t="s">
        <v>331</v>
      </c>
      <c r="L754" t="s">
        <v>340</v>
      </c>
      <c r="M754" t="s">
        <v>347</v>
      </c>
      <c r="N754" t="s">
        <v>350</v>
      </c>
      <c r="O754" t="s">
        <v>354</v>
      </c>
      <c r="P754" t="s">
        <v>360</v>
      </c>
      <c r="Q754">
        <v>202.14</v>
      </c>
      <c r="R754">
        <v>1</v>
      </c>
      <c r="S754">
        <v>29.43</v>
      </c>
    </row>
    <row r="755" spans="1:19" x14ac:dyDescent="0.25">
      <c r="A755">
        <v>754</v>
      </c>
      <c r="B755" s="2">
        <v>45664</v>
      </c>
      <c r="C755">
        <v>2025</v>
      </c>
      <c r="D755" t="s">
        <v>23</v>
      </c>
      <c r="E755" s="2">
        <v>45668</v>
      </c>
      <c r="F755">
        <v>4</v>
      </c>
      <c r="G755" t="s">
        <v>33</v>
      </c>
      <c r="H755" t="s">
        <v>128</v>
      </c>
      <c r="I755" t="s">
        <v>323</v>
      </c>
      <c r="J755" t="s">
        <v>328</v>
      </c>
      <c r="K755" t="s">
        <v>336</v>
      </c>
      <c r="L755" t="s">
        <v>343</v>
      </c>
      <c r="M755" t="s">
        <v>347</v>
      </c>
      <c r="N755" t="s">
        <v>350</v>
      </c>
      <c r="O755" t="s">
        <v>354</v>
      </c>
      <c r="P755" t="s">
        <v>362</v>
      </c>
      <c r="Q755">
        <v>443.79</v>
      </c>
      <c r="R755">
        <v>1</v>
      </c>
      <c r="S755">
        <v>108.85</v>
      </c>
    </row>
    <row r="756" spans="1:19" x14ac:dyDescent="0.25">
      <c r="A756">
        <v>755</v>
      </c>
      <c r="B756" s="2">
        <v>45839</v>
      </c>
      <c r="C756">
        <v>2025</v>
      </c>
      <c r="D756" t="s">
        <v>20</v>
      </c>
      <c r="E756" s="2">
        <v>45841</v>
      </c>
      <c r="F756">
        <v>2</v>
      </c>
      <c r="G756" t="s">
        <v>33</v>
      </c>
      <c r="H756" t="s">
        <v>57</v>
      </c>
      <c r="I756" t="s">
        <v>324</v>
      </c>
      <c r="J756" t="s">
        <v>328</v>
      </c>
      <c r="K756" t="s">
        <v>336</v>
      </c>
      <c r="L756" t="s">
        <v>343</v>
      </c>
      <c r="M756" t="s">
        <v>347</v>
      </c>
      <c r="N756" t="s">
        <v>352</v>
      </c>
      <c r="O756" t="s">
        <v>358</v>
      </c>
      <c r="P756" t="s">
        <v>362</v>
      </c>
      <c r="Q756">
        <v>179.17</v>
      </c>
      <c r="R756">
        <v>7</v>
      </c>
      <c r="S756">
        <v>-29.4</v>
      </c>
    </row>
    <row r="757" spans="1:19" x14ac:dyDescent="0.25">
      <c r="A757">
        <v>756</v>
      </c>
      <c r="B757" s="2">
        <v>44009</v>
      </c>
      <c r="C757">
        <v>2020</v>
      </c>
      <c r="D757" t="s">
        <v>21</v>
      </c>
      <c r="E757" s="2">
        <v>44016</v>
      </c>
      <c r="F757">
        <v>7</v>
      </c>
      <c r="G757" t="s">
        <v>34</v>
      </c>
      <c r="H757" t="s">
        <v>110</v>
      </c>
      <c r="I757" t="s">
        <v>323</v>
      </c>
      <c r="J757" t="s">
        <v>328</v>
      </c>
      <c r="K757" t="s">
        <v>332</v>
      </c>
      <c r="L757" t="s">
        <v>341</v>
      </c>
      <c r="M757" t="s">
        <v>348</v>
      </c>
      <c r="N757" t="s">
        <v>352</v>
      </c>
      <c r="O757" t="s">
        <v>357</v>
      </c>
      <c r="P757" t="s">
        <v>359</v>
      </c>
      <c r="Q757">
        <v>371.49</v>
      </c>
      <c r="R757">
        <v>9</v>
      </c>
      <c r="S757">
        <v>-33.08</v>
      </c>
    </row>
    <row r="758" spans="1:19" x14ac:dyDescent="0.25">
      <c r="A758">
        <v>757</v>
      </c>
      <c r="B758" s="2">
        <v>44731</v>
      </c>
      <c r="C758">
        <v>2022</v>
      </c>
      <c r="D758" t="s">
        <v>21</v>
      </c>
      <c r="E758" s="2">
        <v>44735</v>
      </c>
      <c r="F758">
        <v>4</v>
      </c>
      <c r="G758" t="s">
        <v>31</v>
      </c>
      <c r="H758" t="s">
        <v>309</v>
      </c>
      <c r="I758" t="s">
        <v>325</v>
      </c>
      <c r="J758" t="s">
        <v>327</v>
      </c>
      <c r="K758" t="s">
        <v>337</v>
      </c>
      <c r="L758" t="s">
        <v>344</v>
      </c>
      <c r="M758" t="s">
        <v>347</v>
      </c>
      <c r="N758" t="s">
        <v>352</v>
      </c>
      <c r="O758" t="s">
        <v>357</v>
      </c>
      <c r="P758" t="s">
        <v>360</v>
      </c>
      <c r="Q758">
        <v>163.31</v>
      </c>
      <c r="R758">
        <v>1</v>
      </c>
      <c r="S758">
        <v>-19.809999999999999</v>
      </c>
    </row>
    <row r="759" spans="1:19" x14ac:dyDescent="0.25">
      <c r="A759">
        <v>758</v>
      </c>
      <c r="B759" s="2">
        <v>45326</v>
      </c>
      <c r="C759">
        <v>2024</v>
      </c>
      <c r="D759" t="s">
        <v>28</v>
      </c>
      <c r="E759" s="2">
        <v>45334</v>
      </c>
      <c r="F759">
        <v>8</v>
      </c>
      <c r="G759" t="s">
        <v>31</v>
      </c>
      <c r="H759" t="s">
        <v>79</v>
      </c>
      <c r="I759" t="s">
        <v>324</v>
      </c>
      <c r="J759" t="s">
        <v>326</v>
      </c>
      <c r="K759" t="s">
        <v>331</v>
      </c>
      <c r="L759" t="s">
        <v>340</v>
      </c>
      <c r="M759" t="s">
        <v>347</v>
      </c>
      <c r="N759" t="s">
        <v>351</v>
      </c>
      <c r="O759" t="s">
        <v>355</v>
      </c>
      <c r="P759" t="s">
        <v>362</v>
      </c>
      <c r="Q759">
        <v>245.11</v>
      </c>
      <c r="R759">
        <v>2</v>
      </c>
      <c r="S759">
        <v>65.75</v>
      </c>
    </row>
    <row r="760" spans="1:19" x14ac:dyDescent="0.25">
      <c r="A760">
        <v>759</v>
      </c>
      <c r="B760" s="2">
        <v>45977</v>
      </c>
      <c r="C760">
        <v>2025</v>
      </c>
      <c r="D760" t="s">
        <v>30</v>
      </c>
      <c r="E760" s="2">
        <v>45980</v>
      </c>
      <c r="F760">
        <v>3</v>
      </c>
      <c r="G760" t="s">
        <v>31</v>
      </c>
      <c r="H760" t="s">
        <v>269</v>
      </c>
      <c r="I760" t="s">
        <v>325</v>
      </c>
      <c r="J760" t="s">
        <v>328</v>
      </c>
      <c r="K760" t="s">
        <v>332</v>
      </c>
      <c r="L760" t="s">
        <v>341</v>
      </c>
      <c r="M760" t="s">
        <v>348</v>
      </c>
      <c r="N760" t="s">
        <v>351</v>
      </c>
      <c r="O760" t="s">
        <v>355</v>
      </c>
      <c r="P760" t="s">
        <v>361</v>
      </c>
      <c r="Q760">
        <v>171.64</v>
      </c>
      <c r="R760">
        <v>1</v>
      </c>
      <c r="S760">
        <v>-36.909999999999997</v>
      </c>
    </row>
    <row r="761" spans="1:19" x14ac:dyDescent="0.25">
      <c r="A761">
        <v>760</v>
      </c>
      <c r="B761" s="2">
        <v>45335</v>
      </c>
      <c r="C761">
        <v>2024</v>
      </c>
      <c r="D761" t="s">
        <v>28</v>
      </c>
      <c r="E761" s="2">
        <v>45342</v>
      </c>
      <c r="F761">
        <v>7</v>
      </c>
      <c r="G761" t="s">
        <v>32</v>
      </c>
      <c r="H761" t="s">
        <v>109</v>
      </c>
      <c r="I761" t="s">
        <v>325</v>
      </c>
      <c r="J761" t="s">
        <v>328</v>
      </c>
      <c r="K761" t="s">
        <v>336</v>
      </c>
      <c r="L761" t="s">
        <v>343</v>
      </c>
      <c r="M761" t="s">
        <v>347</v>
      </c>
      <c r="N761" t="s">
        <v>350</v>
      </c>
      <c r="O761" t="s">
        <v>354</v>
      </c>
      <c r="P761" t="s">
        <v>359</v>
      </c>
      <c r="Q761">
        <v>460.47</v>
      </c>
      <c r="R761">
        <v>1</v>
      </c>
      <c r="S761">
        <v>79.28</v>
      </c>
    </row>
    <row r="762" spans="1:19" x14ac:dyDescent="0.25">
      <c r="A762">
        <v>761</v>
      </c>
      <c r="B762" s="2">
        <v>44865</v>
      </c>
      <c r="C762">
        <v>2022</v>
      </c>
      <c r="D762" t="s">
        <v>22</v>
      </c>
      <c r="E762" s="2">
        <v>44866</v>
      </c>
      <c r="F762">
        <v>1</v>
      </c>
      <c r="G762" t="s">
        <v>33</v>
      </c>
      <c r="H762" t="s">
        <v>169</v>
      </c>
      <c r="I762" t="s">
        <v>324</v>
      </c>
      <c r="J762" t="s">
        <v>326</v>
      </c>
      <c r="K762" t="s">
        <v>331</v>
      </c>
      <c r="L762" t="s">
        <v>340</v>
      </c>
      <c r="M762" t="s">
        <v>347</v>
      </c>
      <c r="N762" t="s">
        <v>350</v>
      </c>
      <c r="O762" t="s">
        <v>354</v>
      </c>
      <c r="P762" t="s">
        <v>360</v>
      </c>
      <c r="Q762">
        <v>362.78</v>
      </c>
      <c r="R762">
        <v>4</v>
      </c>
      <c r="S762">
        <v>53.56</v>
      </c>
    </row>
    <row r="763" spans="1:19" x14ac:dyDescent="0.25">
      <c r="A763">
        <v>762</v>
      </c>
      <c r="B763" s="2">
        <v>45911</v>
      </c>
      <c r="C763">
        <v>2025</v>
      </c>
      <c r="D763" t="s">
        <v>25</v>
      </c>
      <c r="E763" s="2">
        <v>45914</v>
      </c>
      <c r="F763">
        <v>3</v>
      </c>
      <c r="G763" t="s">
        <v>31</v>
      </c>
      <c r="H763" t="s">
        <v>262</v>
      </c>
      <c r="I763" t="s">
        <v>324</v>
      </c>
      <c r="J763" t="s">
        <v>328</v>
      </c>
      <c r="K763" t="s">
        <v>336</v>
      </c>
      <c r="L763" t="s">
        <v>343</v>
      </c>
      <c r="M763" t="s">
        <v>347</v>
      </c>
      <c r="N763" t="s">
        <v>352</v>
      </c>
      <c r="O763" t="s">
        <v>358</v>
      </c>
      <c r="P763" t="s">
        <v>361</v>
      </c>
      <c r="Q763">
        <v>25.82</v>
      </c>
      <c r="R763">
        <v>8</v>
      </c>
      <c r="S763">
        <v>0.49</v>
      </c>
    </row>
    <row r="764" spans="1:19" x14ac:dyDescent="0.25">
      <c r="A764">
        <v>763</v>
      </c>
      <c r="B764" s="2">
        <v>44776</v>
      </c>
      <c r="C764">
        <v>2022</v>
      </c>
      <c r="D764" t="s">
        <v>27</v>
      </c>
      <c r="E764" s="2">
        <v>44779</v>
      </c>
      <c r="F764">
        <v>3</v>
      </c>
      <c r="G764" t="s">
        <v>31</v>
      </c>
      <c r="H764" t="s">
        <v>94</v>
      </c>
      <c r="I764" t="s">
        <v>323</v>
      </c>
      <c r="J764" t="s">
        <v>328</v>
      </c>
      <c r="K764" t="s">
        <v>336</v>
      </c>
      <c r="L764" t="s">
        <v>343</v>
      </c>
      <c r="M764" t="s">
        <v>347</v>
      </c>
      <c r="N764" t="s">
        <v>351</v>
      </c>
      <c r="O764" t="s">
        <v>355</v>
      </c>
      <c r="P764" t="s">
        <v>361</v>
      </c>
      <c r="Q764">
        <v>128.44</v>
      </c>
      <c r="R764">
        <v>10</v>
      </c>
      <c r="S764">
        <v>46.2</v>
      </c>
    </row>
    <row r="765" spans="1:19" x14ac:dyDescent="0.25">
      <c r="A765">
        <v>764</v>
      </c>
      <c r="B765" s="2">
        <v>45242</v>
      </c>
      <c r="C765">
        <v>2023</v>
      </c>
      <c r="D765" t="s">
        <v>30</v>
      </c>
      <c r="E765" s="2">
        <v>45247</v>
      </c>
      <c r="F765">
        <v>5</v>
      </c>
      <c r="G765" t="s">
        <v>34</v>
      </c>
      <c r="H765" t="s">
        <v>54</v>
      </c>
      <c r="I765" t="s">
        <v>325</v>
      </c>
      <c r="J765" t="s">
        <v>327</v>
      </c>
      <c r="K765" t="s">
        <v>337</v>
      </c>
      <c r="L765" t="s">
        <v>344</v>
      </c>
      <c r="M765" t="s">
        <v>347</v>
      </c>
      <c r="N765" t="s">
        <v>350</v>
      </c>
      <c r="O765" t="s">
        <v>353</v>
      </c>
      <c r="P765" t="s">
        <v>359</v>
      </c>
      <c r="Q765">
        <v>115.45</v>
      </c>
      <c r="R765">
        <v>6</v>
      </c>
      <c r="S765">
        <v>45.58</v>
      </c>
    </row>
    <row r="766" spans="1:19" x14ac:dyDescent="0.25">
      <c r="A766">
        <v>765</v>
      </c>
      <c r="B766" s="2">
        <v>45020</v>
      </c>
      <c r="C766">
        <v>2023</v>
      </c>
      <c r="D766" t="s">
        <v>26</v>
      </c>
      <c r="E766" s="2">
        <v>45029</v>
      </c>
      <c r="F766">
        <v>9</v>
      </c>
      <c r="G766" t="s">
        <v>34</v>
      </c>
      <c r="H766" t="s">
        <v>52</v>
      </c>
      <c r="I766" t="s">
        <v>323</v>
      </c>
      <c r="J766" t="s">
        <v>328</v>
      </c>
      <c r="K766" t="s">
        <v>335</v>
      </c>
      <c r="L766" t="s">
        <v>335</v>
      </c>
      <c r="M766" t="s">
        <v>345</v>
      </c>
      <c r="N766" t="s">
        <v>351</v>
      </c>
      <c r="O766" t="s">
        <v>355</v>
      </c>
      <c r="P766" t="s">
        <v>362</v>
      </c>
      <c r="Q766">
        <v>101.08</v>
      </c>
      <c r="R766">
        <v>2</v>
      </c>
      <c r="S766">
        <v>46.26</v>
      </c>
    </row>
    <row r="767" spans="1:19" x14ac:dyDescent="0.25">
      <c r="A767">
        <v>766</v>
      </c>
      <c r="B767" s="2">
        <v>45888</v>
      </c>
      <c r="C767">
        <v>2025</v>
      </c>
      <c r="D767" t="s">
        <v>27</v>
      </c>
      <c r="E767" s="2">
        <v>45897</v>
      </c>
      <c r="F767">
        <v>9</v>
      </c>
      <c r="G767" t="s">
        <v>33</v>
      </c>
      <c r="H767" t="s">
        <v>74</v>
      </c>
      <c r="I767" t="s">
        <v>324</v>
      </c>
      <c r="J767" t="s">
        <v>326</v>
      </c>
      <c r="K767" t="s">
        <v>333</v>
      </c>
      <c r="L767" t="s">
        <v>342</v>
      </c>
      <c r="M767" t="s">
        <v>345</v>
      </c>
      <c r="N767" t="s">
        <v>350</v>
      </c>
      <c r="O767" t="s">
        <v>354</v>
      </c>
      <c r="P767" t="s">
        <v>361</v>
      </c>
      <c r="Q767">
        <v>188.18</v>
      </c>
      <c r="R767">
        <v>2</v>
      </c>
      <c r="S767">
        <v>-46.31</v>
      </c>
    </row>
    <row r="768" spans="1:19" x14ac:dyDescent="0.25">
      <c r="A768">
        <v>767</v>
      </c>
      <c r="B768" s="2">
        <v>44116</v>
      </c>
      <c r="C768">
        <v>2020</v>
      </c>
      <c r="D768" t="s">
        <v>22</v>
      </c>
      <c r="E768" s="2">
        <v>44121</v>
      </c>
      <c r="F768">
        <v>5</v>
      </c>
      <c r="G768" t="s">
        <v>31</v>
      </c>
      <c r="H768" t="s">
        <v>156</v>
      </c>
      <c r="I768" t="s">
        <v>323</v>
      </c>
      <c r="J768" t="s">
        <v>328</v>
      </c>
      <c r="K768" t="s">
        <v>336</v>
      </c>
      <c r="L768" t="s">
        <v>343</v>
      </c>
      <c r="M768" t="s">
        <v>347</v>
      </c>
      <c r="N768" t="s">
        <v>350</v>
      </c>
      <c r="O768" t="s">
        <v>353</v>
      </c>
      <c r="P768" t="s">
        <v>362</v>
      </c>
      <c r="Q768">
        <v>41.48</v>
      </c>
      <c r="R768">
        <v>8</v>
      </c>
      <c r="S768">
        <v>4.8</v>
      </c>
    </row>
    <row r="769" spans="1:19" x14ac:dyDescent="0.25">
      <c r="A769">
        <v>768</v>
      </c>
      <c r="B769" s="2">
        <v>44229</v>
      </c>
      <c r="C769">
        <v>2021</v>
      </c>
      <c r="D769" t="s">
        <v>28</v>
      </c>
      <c r="E769" s="2">
        <v>44230</v>
      </c>
      <c r="F769">
        <v>1</v>
      </c>
      <c r="G769" t="s">
        <v>31</v>
      </c>
      <c r="H769" t="s">
        <v>96</v>
      </c>
      <c r="I769" t="s">
        <v>323</v>
      </c>
      <c r="J769" t="s">
        <v>326</v>
      </c>
      <c r="K769" t="s">
        <v>331</v>
      </c>
      <c r="L769" t="s">
        <v>340</v>
      </c>
      <c r="M769" t="s">
        <v>347</v>
      </c>
      <c r="N769" t="s">
        <v>350</v>
      </c>
      <c r="O769" t="s">
        <v>354</v>
      </c>
      <c r="P769" t="s">
        <v>359</v>
      </c>
      <c r="Q769">
        <v>321.69</v>
      </c>
      <c r="R769">
        <v>8</v>
      </c>
      <c r="S769">
        <v>46.6</v>
      </c>
    </row>
    <row r="770" spans="1:19" x14ac:dyDescent="0.25">
      <c r="A770">
        <v>769</v>
      </c>
      <c r="B770" s="2">
        <v>45533</v>
      </c>
      <c r="C770">
        <v>2024</v>
      </c>
      <c r="D770" t="s">
        <v>27</v>
      </c>
      <c r="E770" s="2">
        <v>45542</v>
      </c>
      <c r="F770">
        <v>9</v>
      </c>
      <c r="G770" t="s">
        <v>33</v>
      </c>
      <c r="H770" t="s">
        <v>97</v>
      </c>
      <c r="I770" t="s">
        <v>324</v>
      </c>
      <c r="J770" t="s">
        <v>326</v>
      </c>
      <c r="K770" t="s">
        <v>329</v>
      </c>
      <c r="L770" t="s">
        <v>338</v>
      </c>
      <c r="M770" t="s">
        <v>345</v>
      </c>
      <c r="N770" t="s">
        <v>351</v>
      </c>
      <c r="O770" t="s">
        <v>355</v>
      </c>
      <c r="P770" t="s">
        <v>362</v>
      </c>
      <c r="Q770">
        <v>453.17</v>
      </c>
      <c r="R770">
        <v>8</v>
      </c>
      <c r="S770">
        <v>83.24</v>
      </c>
    </row>
    <row r="771" spans="1:19" x14ac:dyDescent="0.25">
      <c r="A771">
        <v>770</v>
      </c>
      <c r="B771" s="2">
        <v>44361</v>
      </c>
      <c r="C771">
        <v>2021</v>
      </c>
      <c r="D771" t="s">
        <v>21</v>
      </c>
      <c r="E771" s="2">
        <v>44364</v>
      </c>
      <c r="F771">
        <v>3</v>
      </c>
      <c r="G771" t="s">
        <v>34</v>
      </c>
      <c r="H771" t="s">
        <v>309</v>
      </c>
      <c r="I771" t="s">
        <v>325</v>
      </c>
      <c r="J771" t="s">
        <v>328</v>
      </c>
      <c r="K771" t="s">
        <v>332</v>
      </c>
      <c r="L771" t="s">
        <v>341</v>
      </c>
      <c r="M771" t="s">
        <v>348</v>
      </c>
      <c r="N771" t="s">
        <v>351</v>
      </c>
      <c r="O771" t="s">
        <v>356</v>
      </c>
      <c r="P771" t="s">
        <v>362</v>
      </c>
      <c r="Q771">
        <v>239.43</v>
      </c>
      <c r="R771">
        <v>1</v>
      </c>
      <c r="S771">
        <v>43.38</v>
      </c>
    </row>
    <row r="772" spans="1:19" x14ac:dyDescent="0.25">
      <c r="A772">
        <v>771</v>
      </c>
      <c r="B772" s="2">
        <v>43962</v>
      </c>
      <c r="C772">
        <v>2020</v>
      </c>
      <c r="D772" t="s">
        <v>19</v>
      </c>
      <c r="E772" s="2">
        <v>43968</v>
      </c>
      <c r="F772">
        <v>6</v>
      </c>
      <c r="G772" t="s">
        <v>34</v>
      </c>
      <c r="H772" t="s">
        <v>273</v>
      </c>
      <c r="I772" t="s">
        <v>324</v>
      </c>
      <c r="J772" t="s">
        <v>326</v>
      </c>
      <c r="K772" t="s">
        <v>331</v>
      </c>
      <c r="L772" t="s">
        <v>340</v>
      </c>
      <c r="M772" t="s">
        <v>347</v>
      </c>
      <c r="N772" t="s">
        <v>351</v>
      </c>
      <c r="O772" t="s">
        <v>355</v>
      </c>
      <c r="P772" t="s">
        <v>361</v>
      </c>
      <c r="Q772">
        <v>388.31</v>
      </c>
      <c r="R772">
        <v>7</v>
      </c>
      <c r="S772">
        <v>118.04</v>
      </c>
    </row>
    <row r="773" spans="1:19" x14ac:dyDescent="0.25">
      <c r="A773">
        <v>772</v>
      </c>
      <c r="B773" s="2">
        <v>45383</v>
      </c>
      <c r="C773">
        <v>2024</v>
      </c>
      <c r="D773" t="s">
        <v>26</v>
      </c>
      <c r="E773" s="2">
        <v>45386</v>
      </c>
      <c r="F773">
        <v>3</v>
      </c>
      <c r="G773" t="s">
        <v>33</v>
      </c>
      <c r="H773" t="s">
        <v>176</v>
      </c>
      <c r="I773" t="s">
        <v>325</v>
      </c>
      <c r="J773" t="s">
        <v>328</v>
      </c>
      <c r="K773" t="s">
        <v>335</v>
      </c>
      <c r="L773" t="s">
        <v>335</v>
      </c>
      <c r="M773" t="s">
        <v>345</v>
      </c>
      <c r="N773" t="s">
        <v>351</v>
      </c>
      <c r="O773" t="s">
        <v>356</v>
      </c>
      <c r="P773" t="s">
        <v>362</v>
      </c>
      <c r="Q773">
        <v>164.25</v>
      </c>
      <c r="R773">
        <v>1</v>
      </c>
      <c r="S773">
        <v>77.709999999999994</v>
      </c>
    </row>
    <row r="774" spans="1:19" x14ac:dyDescent="0.25">
      <c r="A774">
        <v>773</v>
      </c>
      <c r="B774" s="2">
        <v>44774</v>
      </c>
      <c r="C774">
        <v>2022</v>
      </c>
      <c r="D774" t="s">
        <v>27</v>
      </c>
      <c r="E774" s="2">
        <v>44778</v>
      </c>
      <c r="F774">
        <v>4</v>
      </c>
      <c r="G774" t="s">
        <v>33</v>
      </c>
      <c r="H774" t="s">
        <v>84</v>
      </c>
      <c r="I774" t="s">
        <v>325</v>
      </c>
      <c r="J774" t="s">
        <v>327</v>
      </c>
      <c r="K774" t="s">
        <v>334</v>
      </c>
      <c r="L774" t="s">
        <v>334</v>
      </c>
      <c r="M774" t="s">
        <v>349</v>
      </c>
      <c r="N774" t="s">
        <v>350</v>
      </c>
      <c r="O774" t="s">
        <v>353</v>
      </c>
      <c r="P774" t="s">
        <v>361</v>
      </c>
      <c r="Q774">
        <v>311.64999999999998</v>
      </c>
      <c r="R774">
        <v>8</v>
      </c>
      <c r="S774">
        <v>20.51</v>
      </c>
    </row>
    <row r="775" spans="1:19" x14ac:dyDescent="0.25">
      <c r="A775">
        <v>774</v>
      </c>
      <c r="B775" s="2">
        <v>43924</v>
      </c>
      <c r="C775">
        <v>2020</v>
      </c>
      <c r="D775" t="s">
        <v>26</v>
      </c>
      <c r="E775" s="2">
        <v>43926</v>
      </c>
      <c r="F775">
        <v>2</v>
      </c>
      <c r="G775" t="s">
        <v>31</v>
      </c>
      <c r="H775" t="s">
        <v>138</v>
      </c>
      <c r="I775" t="s">
        <v>323</v>
      </c>
      <c r="J775" t="s">
        <v>327</v>
      </c>
      <c r="K775" t="s">
        <v>330</v>
      </c>
      <c r="L775" t="s">
        <v>339</v>
      </c>
      <c r="M775" t="s">
        <v>346</v>
      </c>
      <c r="N775" t="s">
        <v>350</v>
      </c>
      <c r="O775" t="s">
        <v>354</v>
      </c>
      <c r="P775" t="s">
        <v>362</v>
      </c>
      <c r="Q775">
        <v>433.91</v>
      </c>
      <c r="R775">
        <v>4</v>
      </c>
      <c r="S775">
        <v>-90.28</v>
      </c>
    </row>
    <row r="776" spans="1:19" x14ac:dyDescent="0.25">
      <c r="A776">
        <v>775</v>
      </c>
      <c r="B776" s="2">
        <v>44377</v>
      </c>
      <c r="C776">
        <v>2021</v>
      </c>
      <c r="D776" t="s">
        <v>21</v>
      </c>
      <c r="E776" s="2">
        <v>44382</v>
      </c>
      <c r="F776">
        <v>5</v>
      </c>
      <c r="G776" t="s">
        <v>32</v>
      </c>
      <c r="H776" t="s">
        <v>130</v>
      </c>
      <c r="I776" t="s">
        <v>323</v>
      </c>
      <c r="J776" t="s">
        <v>326</v>
      </c>
      <c r="K776" t="s">
        <v>331</v>
      </c>
      <c r="L776" t="s">
        <v>340</v>
      </c>
      <c r="M776" t="s">
        <v>347</v>
      </c>
      <c r="N776" t="s">
        <v>352</v>
      </c>
      <c r="O776" t="s">
        <v>358</v>
      </c>
      <c r="P776" t="s">
        <v>360</v>
      </c>
      <c r="Q776">
        <v>377.04</v>
      </c>
      <c r="R776">
        <v>8</v>
      </c>
      <c r="S776">
        <v>-94.68</v>
      </c>
    </row>
    <row r="777" spans="1:19" x14ac:dyDescent="0.25">
      <c r="A777">
        <v>776</v>
      </c>
      <c r="B777" s="2">
        <v>45856</v>
      </c>
      <c r="C777">
        <v>2025</v>
      </c>
      <c r="D777" t="s">
        <v>20</v>
      </c>
      <c r="E777" s="2">
        <v>45859</v>
      </c>
      <c r="F777">
        <v>3</v>
      </c>
      <c r="G777" t="s">
        <v>33</v>
      </c>
      <c r="H777" t="s">
        <v>122</v>
      </c>
      <c r="I777" t="s">
        <v>325</v>
      </c>
      <c r="J777" t="s">
        <v>326</v>
      </c>
      <c r="K777" t="s">
        <v>329</v>
      </c>
      <c r="L777" t="s">
        <v>338</v>
      </c>
      <c r="M777" t="s">
        <v>345</v>
      </c>
      <c r="N777" t="s">
        <v>351</v>
      </c>
      <c r="O777" t="s">
        <v>355</v>
      </c>
      <c r="P777" t="s">
        <v>359</v>
      </c>
      <c r="Q777">
        <v>429.68</v>
      </c>
      <c r="R777">
        <v>10</v>
      </c>
      <c r="S777">
        <v>5.58</v>
      </c>
    </row>
    <row r="778" spans="1:19" x14ac:dyDescent="0.25">
      <c r="A778">
        <v>777</v>
      </c>
      <c r="B778" s="2">
        <v>44634</v>
      </c>
      <c r="C778">
        <v>2022</v>
      </c>
      <c r="D778" t="s">
        <v>24</v>
      </c>
      <c r="E778" s="2">
        <v>44640</v>
      </c>
      <c r="F778">
        <v>6</v>
      </c>
      <c r="G778" t="s">
        <v>33</v>
      </c>
      <c r="H778" t="s">
        <v>180</v>
      </c>
      <c r="I778" t="s">
        <v>324</v>
      </c>
      <c r="J778" t="s">
        <v>328</v>
      </c>
      <c r="K778" t="s">
        <v>335</v>
      </c>
      <c r="L778" t="s">
        <v>335</v>
      </c>
      <c r="M778" t="s">
        <v>345</v>
      </c>
      <c r="N778" t="s">
        <v>350</v>
      </c>
      <c r="O778" t="s">
        <v>354</v>
      </c>
      <c r="P778" t="s">
        <v>359</v>
      </c>
      <c r="Q778">
        <v>37.26</v>
      </c>
      <c r="R778">
        <v>2</v>
      </c>
      <c r="S778">
        <v>-5.44</v>
      </c>
    </row>
    <row r="779" spans="1:19" x14ac:dyDescent="0.25">
      <c r="A779">
        <v>778</v>
      </c>
      <c r="B779" s="2">
        <v>44217</v>
      </c>
      <c r="C779">
        <v>2021</v>
      </c>
      <c r="D779" t="s">
        <v>23</v>
      </c>
      <c r="E779" s="2">
        <v>44220</v>
      </c>
      <c r="F779">
        <v>3</v>
      </c>
      <c r="G779" t="s">
        <v>33</v>
      </c>
      <c r="H779" t="s">
        <v>37</v>
      </c>
      <c r="I779" t="s">
        <v>325</v>
      </c>
      <c r="J779" t="s">
        <v>326</v>
      </c>
      <c r="K779" t="s">
        <v>333</v>
      </c>
      <c r="L779" t="s">
        <v>342</v>
      </c>
      <c r="M779" t="s">
        <v>345</v>
      </c>
      <c r="N779" t="s">
        <v>350</v>
      </c>
      <c r="O779" t="s">
        <v>353</v>
      </c>
      <c r="P779" t="s">
        <v>362</v>
      </c>
      <c r="Q779">
        <v>211.18</v>
      </c>
      <c r="R779">
        <v>5</v>
      </c>
      <c r="S779">
        <v>27.37</v>
      </c>
    </row>
    <row r="780" spans="1:19" x14ac:dyDescent="0.25">
      <c r="A780">
        <v>779</v>
      </c>
      <c r="B780" s="2">
        <v>45750</v>
      </c>
      <c r="C780">
        <v>2025</v>
      </c>
      <c r="D780" t="s">
        <v>26</v>
      </c>
      <c r="E780" s="2">
        <v>45758</v>
      </c>
      <c r="F780">
        <v>8</v>
      </c>
      <c r="G780" t="s">
        <v>31</v>
      </c>
      <c r="H780" t="s">
        <v>76</v>
      </c>
      <c r="I780" t="s">
        <v>323</v>
      </c>
      <c r="J780" t="s">
        <v>326</v>
      </c>
      <c r="K780" t="s">
        <v>331</v>
      </c>
      <c r="L780" t="s">
        <v>340</v>
      </c>
      <c r="M780" t="s">
        <v>347</v>
      </c>
      <c r="N780" t="s">
        <v>351</v>
      </c>
      <c r="O780" t="s">
        <v>356</v>
      </c>
      <c r="P780" t="s">
        <v>361</v>
      </c>
      <c r="Q780">
        <v>133.34</v>
      </c>
      <c r="R780">
        <v>6</v>
      </c>
      <c r="S780">
        <v>37.229999999999997</v>
      </c>
    </row>
    <row r="781" spans="1:19" x14ac:dyDescent="0.25">
      <c r="A781">
        <v>780</v>
      </c>
      <c r="B781" s="2">
        <v>44047</v>
      </c>
      <c r="C781">
        <v>2020</v>
      </c>
      <c r="D781" t="s">
        <v>27</v>
      </c>
      <c r="E781" s="2">
        <v>44050</v>
      </c>
      <c r="F781">
        <v>3</v>
      </c>
      <c r="G781" t="s">
        <v>33</v>
      </c>
      <c r="H781" t="s">
        <v>284</v>
      </c>
      <c r="I781" t="s">
        <v>325</v>
      </c>
      <c r="J781" t="s">
        <v>326</v>
      </c>
      <c r="K781" t="s">
        <v>331</v>
      </c>
      <c r="L781" t="s">
        <v>340</v>
      </c>
      <c r="M781" t="s">
        <v>347</v>
      </c>
      <c r="N781" t="s">
        <v>351</v>
      </c>
      <c r="O781" t="s">
        <v>356</v>
      </c>
      <c r="P781" t="s">
        <v>361</v>
      </c>
      <c r="Q781">
        <v>44.67</v>
      </c>
      <c r="R781">
        <v>3</v>
      </c>
      <c r="S781">
        <v>-0.73</v>
      </c>
    </row>
    <row r="782" spans="1:19" x14ac:dyDescent="0.25">
      <c r="A782">
        <v>781</v>
      </c>
      <c r="B782" s="2">
        <v>44405</v>
      </c>
      <c r="C782">
        <v>2021</v>
      </c>
      <c r="D782" t="s">
        <v>20</v>
      </c>
      <c r="E782" s="2">
        <v>44408</v>
      </c>
      <c r="F782">
        <v>3</v>
      </c>
      <c r="G782" t="s">
        <v>33</v>
      </c>
      <c r="H782" t="s">
        <v>125</v>
      </c>
      <c r="I782" t="s">
        <v>324</v>
      </c>
      <c r="J782" t="s">
        <v>326</v>
      </c>
      <c r="K782" t="s">
        <v>331</v>
      </c>
      <c r="L782" t="s">
        <v>340</v>
      </c>
      <c r="M782" t="s">
        <v>347</v>
      </c>
      <c r="N782" t="s">
        <v>350</v>
      </c>
      <c r="O782" t="s">
        <v>354</v>
      </c>
      <c r="P782" t="s">
        <v>360</v>
      </c>
      <c r="Q782">
        <v>60.27</v>
      </c>
      <c r="R782">
        <v>1</v>
      </c>
      <c r="S782">
        <v>-5.73</v>
      </c>
    </row>
    <row r="783" spans="1:19" x14ac:dyDescent="0.25">
      <c r="A783">
        <v>782</v>
      </c>
      <c r="B783" s="2">
        <v>43845</v>
      </c>
      <c r="C783">
        <v>2020</v>
      </c>
      <c r="D783" t="s">
        <v>23</v>
      </c>
      <c r="E783" s="2">
        <v>43847</v>
      </c>
      <c r="F783">
        <v>2</v>
      </c>
      <c r="G783" t="s">
        <v>33</v>
      </c>
      <c r="H783" t="s">
        <v>96</v>
      </c>
      <c r="I783" t="s">
        <v>325</v>
      </c>
      <c r="J783" t="s">
        <v>326</v>
      </c>
      <c r="K783" t="s">
        <v>329</v>
      </c>
      <c r="L783" t="s">
        <v>338</v>
      </c>
      <c r="M783" t="s">
        <v>345</v>
      </c>
      <c r="N783" t="s">
        <v>350</v>
      </c>
      <c r="O783" t="s">
        <v>354</v>
      </c>
      <c r="P783" t="s">
        <v>362</v>
      </c>
      <c r="Q783">
        <v>287.87</v>
      </c>
      <c r="R783">
        <v>1</v>
      </c>
      <c r="S783">
        <v>-62.01</v>
      </c>
    </row>
    <row r="784" spans="1:19" x14ac:dyDescent="0.25">
      <c r="A784">
        <v>783</v>
      </c>
      <c r="B784" s="2">
        <v>43986</v>
      </c>
      <c r="C784">
        <v>2020</v>
      </c>
      <c r="D784" t="s">
        <v>21</v>
      </c>
      <c r="E784" s="2">
        <v>43988</v>
      </c>
      <c r="F784">
        <v>2</v>
      </c>
      <c r="G784" t="s">
        <v>31</v>
      </c>
      <c r="H784" t="s">
        <v>230</v>
      </c>
      <c r="I784" t="s">
        <v>325</v>
      </c>
      <c r="J784" t="s">
        <v>327</v>
      </c>
      <c r="K784" t="s">
        <v>337</v>
      </c>
      <c r="L784" t="s">
        <v>344</v>
      </c>
      <c r="M784" t="s">
        <v>347</v>
      </c>
      <c r="N784" t="s">
        <v>351</v>
      </c>
      <c r="O784" t="s">
        <v>355</v>
      </c>
      <c r="P784" t="s">
        <v>359</v>
      </c>
      <c r="Q784">
        <v>443.76</v>
      </c>
      <c r="R784">
        <v>3</v>
      </c>
      <c r="S784">
        <v>-113.56</v>
      </c>
    </row>
    <row r="785" spans="1:19" x14ac:dyDescent="0.25">
      <c r="A785">
        <v>784</v>
      </c>
      <c r="B785" s="2">
        <v>44595</v>
      </c>
      <c r="C785">
        <v>2022</v>
      </c>
      <c r="D785" t="s">
        <v>28</v>
      </c>
      <c r="E785" s="2">
        <v>44603</v>
      </c>
      <c r="F785">
        <v>8</v>
      </c>
      <c r="G785" t="s">
        <v>34</v>
      </c>
      <c r="H785" t="s">
        <v>111</v>
      </c>
      <c r="I785" t="s">
        <v>325</v>
      </c>
      <c r="J785" t="s">
        <v>328</v>
      </c>
      <c r="K785" t="s">
        <v>332</v>
      </c>
      <c r="L785" t="s">
        <v>341</v>
      </c>
      <c r="M785" t="s">
        <v>348</v>
      </c>
      <c r="N785" t="s">
        <v>351</v>
      </c>
      <c r="O785" t="s">
        <v>356</v>
      </c>
      <c r="P785" t="s">
        <v>361</v>
      </c>
      <c r="Q785">
        <v>410.41</v>
      </c>
      <c r="R785">
        <v>10</v>
      </c>
      <c r="S785">
        <v>-77.48</v>
      </c>
    </row>
    <row r="786" spans="1:19" x14ac:dyDescent="0.25">
      <c r="A786">
        <v>785</v>
      </c>
      <c r="B786" s="2">
        <v>43901</v>
      </c>
      <c r="C786">
        <v>2020</v>
      </c>
      <c r="D786" t="s">
        <v>24</v>
      </c>
      <c r="E786" s="2">
        <v>43909</v>
      </c>
      <c r="F786">
        <v>8</v>
      </c>
      <c r="G786" t="s">
        <v>33</v>
      </c>
      <c r="H786" t="s">
        <v>54</v>
      </c>
      <c r="I786" t="s">
        <v>324</v>
      </c>
      <c r="J786" t="s">
        <v>328</v>
      </c>
      <c r="K786" t="s">
        <v>332</v>
      </c>
      <c r="L786" t="s">
        <v>341</v>
      </c>
      <c r="M786" t="s">
        <v>348</v>
      </c>
      <c r="N786" t="s">
        <v>352</v>
      </c>
      <c r="O786" t="s">
        <v>357</v>
      </c>
      <c r="P786" t="s">
        <v>360</v>
      </c>
      <c r="Q786">
        <v>275.48</v>
      </c>
      <c r="R786">
        <v>9</v>
      </c>
      <c r="S786">
        <v>86.8</v>
      </c>
    </row>
    <row r="787" spans="1:19" x14ac:dyDescent="0.25">
      <c r="A787">
        <v>786</v>
      </c>
      <c r="B787" s="2">
        <v>45101</v>
      </c>
      <c r="C787">
        <v>2023</v>
      </c>
      <c r="D787" t="s">
        <v>21</v>
      </c>
      <c r="E787" s="2">
        <v>45109</v>
      </c>
      <c r="F787">
        <v>8</v>
      </c>
      <c r="G787" t="s">
        <v>33</v>
      </c>
      <c r="H787" t="s">
        <v>127</v>
      </c>
      <c r="I787" t="s">
        <v>323</v>
      </c>
      <c r="J787" t="s">
        <v>327</v>
      </c>
      <c r="K787" t="s">
        <v>337</v>
      </c>
      <c r="L787" t="s">
        <v>344</v>
      </c>
      <c r="M787" t="s">
        <v>347</v>
      </c>
      <c r="N787" t="s">
        <v>352</v>
      </c>
      <c r="O787" t="s">
        <v>357</v>
      </c>
      <c r="P787" t="s">
        <v>360</v>
      </c>
      <c r="Q787">
        <v>359.7</v>
      </c>
      <c r="R787">
        <v>2</v>
      </c>
      <c r="S787">
        <v>48.15</v>
      </c>
    </row>
    <row r="788" spans="1:19" x14ac:dyDescent="0.25">
      <c r="A788">
        <v>787</v>
      </c>
      <c r="B788" s="2">
        <v>45564</v>
      </c>
      <c r="C788">
        <v>2024</v>
      </c>
      <c r="D788" t="s">
        <v>25</v>
      </c>
      <c r="E788" s="2">
        <v>45566</v>
      </c>
      <c r="F788">
        <v>2</v>
      </c>
      <c r="G788" t="s">
        <v>31</v>
      </c>
      <c r="H788" t="s">
        <v>310</v>
      </c>
      <c r="I788" t="s">
        <v>325</v>
      </c>
      <c r="J788" t="s">
        <v>328</v>
      </c>
      <c r="K788" t="s">
        <v>336</v>
      </c>
      <c r="L788" t="s">
        <v>343</v>
      </c>
      <c r="M788" t="s">
        <v>347</v>
      </c>
      <c r="N788" t="s">
        <v>350</v>
      </c>
      <c r="O788" t="s">
        <v>354</v>
      </c>
      <c r="P788" t="s">
        <v>362</v>
      </c>
      <c r="Q788">
        <v>326.13</v>
      </c>
      <c r="R788">
        <v>3</v>
      </c>
      <c r="S788">
        <v>-20.8</v>
      </c>
    </row>
    <row r="789" spans="1:19" x14ac:dyDescent="0.25">
      <c r="A789">
        <v>788</v>
      </c>
      <c r="B789" s="2">
        <v>44224</v>
      </c>
      <c r="C789">
        <v>2021</v>
      </c>
      <c r="D789" t="s">
        <v>23</v>
      </c>
      <c r="E789" s="2">
        <v>44231</v>
      </c>
      <c r="F789">
        <v>7</v>
      </c>
      <c r="G789" t="s">
        <v>33</v>
      </c>
      <c r="H789" t="s">
        <v>197</v>
      </c>
      <c r="I789" t="s">
        <v>323</v>
      </c>
      <c r="J789" t="s">
        <v>327</v>
      </c>
      <c r="K789" t="s">
        <v>337</v>
      </c>
      <c r="L789" t="s">
        <v>344</v>
      </c>
      <c r="M789" t="s">
        <v>347</v>
      </c>
      <c r="N789" t="s">
        <v>350</v>
      </c>
      <c r="O789" t="s">
        <v>353</v>
      </c>
      <c r="P789" t="s">
        <v>361</v>
      </c>
      <c r="Q789">
        <v>461.31</v>
      </c>
      <c r="R789">
        <v>5</v>
      </c>
      <c r="S789">
        <v>59.45</v>
      </c>
    </row>
    <row r="790" spans="1:19" x14ac:dyDescent="0.25">
      <c r="A790">
        <v>789</v>
      </c>
      <c r="B790" s="2">
        <v>44675</v>
      </c>
      <c r="C790">
        <v>2022</v>
      </c>
      <c r="D790" t="s">
        <v>26</v>
      </c>
      <c r="E790" s="2">
        <v>44678</v>
      </c>
      <c r="F790">
        <v>3</v>
      </c>
      <c r="G790" t="s">
        <v>34</v>
      </c>
      <c r="H790" t="s">
        <v>281</v>
      </c>
      <c r="I790" t="s">
        <v>323</v>
      </c>
      <c r="J790" t="s">
        <v>328</v>
      </c>
      <c r="K790" t="s">
        <v>332</v>
      </c>
      <c r="L790" t="s">
        <v>341</v>
      </c>
      <c r="M790" t="s">
        <v>348</v>
      </c>
      <c r="N790" t="s">
        <v>351</v>
      </c>
      <c r="O790" t="s">
        <v>355</v>
      </c>
      <c r="P790" t="s">
        <v>361</v>
      </c>
      <c r="Q790">
        <v>254.17</v>
      </c>
      <c r="R790">
        <v>8</v>
      </c>
      <c r="S790">
        <v>96.71</v>
      </c>
    </row>
    <row r="791" spans="1:19" x14ac:dyDescent="0.25">
      <c r="A791">
        <v>790</v>
      </c>
      <c r="B791" s="2">
        <v>45506</v>
      </c>
      <c r="C791">
        <v>2024</v>
      </c>
      <c r="D791" t="s">
        <v>27</v>
      </c>
      <c r="E791" s="2">
        <v>45511</v>
      </c>
      <c r="F791">
        <v>5</v>
      </c>
      <c r="G791" t="s">
        <v>32</v>
      </c>
      <c r="H791" t="s">
        <v>91</v>
      </c>
      <c r="I791" t="s">
        <v>325</v>
      </c>
      <c r="J791" t="s">
        <v>327</v>
      </c>
      <c r="K791" t="s">
        <v>330</v>
      </c>
      <c r="L791" t="s">
        <v>339</v>
      </c>
      <c r="M791" t="s">
        <v>346</v>
      </c>
      <c r="N791" t="s">
        <v>350</v>
      </c>
      <c r="O791" t="s">
        <v>353</v>
      </c>
      <c r="P791" t="s">
        <v>361</v>
      </c>
      <c r="Q791">
        <v>444.43</v>
      </c>
      <c r="R791">
        <v>7</v>
      </c>
      <c r="S791">
        <v>155.94</v>
      </c>
    </row>
    <row r="792" spans="1:19" x14ac:dyDescent="0.25">
      <c r="A792">
        <v>791</v>
      </c>
      <c r="B792" s="2">
        <v>44036</v>
      </c>
      <c r="C792">
        <v>2020</v>
      </c>
      <c r="D792" t="s">
        <v>20</v>
      </c>
      <c r="E792" s="2">
        <v>44037</v>
      </c>
      <c r="F792">
        <v>1</v>
      </c>
      <c r="G792" t="s">
        <v>31</v>
      </c>
      <c r="H792" t="s">
        <v>263</v>
      </c>
      <c r="I792" t="s">
        <v>323</v>
      </c>
      <c r="J792" t="s">
        <v>327</v>
      </c>
      <c r="K792" t="s">
        <v>337</v>
      </c>
      <c r="L792" t="s">
        <v>344</v>
      </c>
      <c r="M792" t="s">
        <v>347</v>
      </c>
      <c r="N792" t="s">
        <v>350</v>
      </c>
      <c r="O792" t="s">
        <v>353</v>
      </c>
      <c r="P792" t="s">
        <v>361</v>
      </c>
      <c r="Q792">
        <v>219.21</v>
      </c>
      <c r="R792">
        <v>2</v>
      </c>
      <c r="S792">
        <v>68.400000000000006</v>
      </c>
    </row>
    <row r="793" spans="1:19" x14ac:dyDescent="0.25">
      <c r="A793">
        <v>792</v>
      </c>
      <c r="B793" s="2">
        <v>46000</v>
      </c>
      <c r="C793">
        <v>2025</v>
      </c>
      <c r="D793" t="s">
        <v>29</v>
      </c>
      <c r="E793" s="2">
        <v>46010</v>
      </c>
      <c r="F793">
        <v>10</v>
      </c>
      <c r="G793" t="s">
        <v>33</v>
      </c>
      <c r="H793" t="s">
        <v>311</v>
      </c>
      <c r="I793" t="s">
        <v>323</v>
      </c>
      <c r="J793" t="s">
        <v>326</v>
      </c>
      <c r="K793" t="s">
        <v>333</v>
      </c>
      <c r="L793" t="s">
        <v>342</v>
      </c>
      <c r="M793" t="s">
        <v>345</v>
      </c>
      <c r="N793" t="s">
        <v>352</v>
      </c>
      <c r="O793" t="s">
        <v>357</v>
      </c>
      <c r="P793" t="s">
        <v>361</v>
      </c>
      <c r="Q793">
        <v>394.86</v>
      </c>
      <c r="R793">
        <v>2</v>
      </c>
      <c r="S793">
        <v>-68.8</v>
      </c>
    </row>
    <row r="794" spans="1:19" x14ac:dyDescent="0.25">
      <c r="A794">
        <v>793</v>
      </c>
      <c r="B794" s="2">
        <v>44884</v>
      </c>
      <c r="C794">
        <v>2022</v>
      </c>
      <c r="D794" t="s">
        <v>30</v>
      </c>
      <c r="E794" s="2">
        <v>44885</v>
      </c>
      <c r="F794">
        <v>1</v>
      </c>
      <c r="G794" t="s">
        <v>32</v>
      </c>
      <c r="H794" t="s">
        <v>226</v>
      </c>
      <c r="I794" t="s">
        <v>323</v>
      </c>
      <c r="J794" t="s">
        <v>327</v>
      </c>
      <c r="K794" t="s">
        <v>334</v>
      </c>
      <c r="L794" t="s">
        <v>334</v>
      </c>
      <c r="M794" t="s">
        <v>349</v>
      </c>
      <c r="N794" t="s">
        <v>351</v>
      </c>
      <c r="O794" t="s">
        <v>355</v>
      </c>
      <c r="P794" t="s">
        <v>359</v>
      </c>
      <c r="Q794">
        <v>172.89</v>
      </c>
      <c r="R794">
        <v>4</v>
      </c>
      <c r="S794">
        <v>50.51</v>
      </c>
    </row>
    <row r="795" spans="1:19" x14ac:dyDescent="0.25">
      <c r="A795">
        <v>794</v>
      </c>
      <c r="B795" s="2">
        <v>45991</v>
      </c>
      <c r="C795">
        <v>2025</v>
      </c>
      <c r="D795" t="s">
        <v>30</v>
      </c>
      <c r="E795" s="2">
        <v>45999</v>
      </c>
      <c r="F795">
        <v>8</v>
      </c>
      <c r="G795" t="s">
        <v>31</v>
      </c>
      <c r="H795" t="s">
        <v>312</v>
      </c>
      <c r="I795" t="s">
        <v>323</v>
      </c>
      <c r="J795" t="s">
        <v>328</v>
      </c>
      <c r="K795" t="s">
        <v>336</v>
      </c>
      <c r="L795" t="s">
        <v>343</v>
      </c>
      <c r="M795" t="s">
        <v>347</v>
      </c>
      <c r="N795" t="s">
        <v>352</v>
      </c>
      <c r="O795" t="s">
        <v>357</v>
      </c>
      <c r="P795" t="s">
        <v>360</v>
      </c>
      <c r="Q795">
        <v>302.2</v>
      </c>
      <c r="R795">
        <v>8</v>
      </c>
      <c r="S795">
        <v>-11.18</v>
      </c>
    </row>
    <row r="796" spans="1:19" x14ac:dyDescent="0.25">
      <c r="A796">
        <v>795</v>
      </c>
      <c r="B796" s="2">
        <v>45594</v>
      </c>
      <c r="C796">
        <v>2024</v>
      </c>
      <c r="D796" t="s">
        <v>22</v>
      </c>
      <c r="E796" s="2">
        <v>45598</v>
      </c>
      <c r="F796">
        <v>4</v>
      </c>
      <c r="G796" t="s">
        <v>32</v>
      </c>
      <c r="H796" t="s">
        <v>145</v>
      </c>
      <c r="I796" t="s">
        <v>324</v>
      </c>
      <c r="J796" t="s">
        <v>327</v>
      </c>
      <c r="K796" t="s">
        <v>334</v>
      </c>
      <c r="L796" t="s">
        <v>334</v>
      </c>
      <c r="M796" t="s">
        <v>349</v>
      </c>
      <c r="N796" t="s">
        <v>350</v>
      </c>
      <c r="O796" t="s">
        <v>353</v>
      </c>
      <c r="P796" t="s">
        <v>360</v>
      </c>
      <c r="Q796">
        <v>272.89999999999998</v>
      </c>
      <c r="R796">
        <v>7</v>
      </c>
      <c r="S796">
        <v>83.43</v>
      </c>
    </row>
    <row r="797" spans="1:19" x14ac:dyDescent="0.25">
      <c r="A797">
        <v>796</v>
      </c>
      <c r="B797" s="2">
        <v>44290</v>
      </c>
      <c r="C797">
        <v>2021</v>
      </c>
      <c r="D797" t="s">
        <v>26</v>
      </c>
      <c r="E797" s="2">
        <v>44292</v>
      </c>
      <c r="F797">
        <v>2</v>
      </c>
      <c r="G797" t="s">
        <v>31</v>
      </c>
      <c r="H797" t="s">
        <v>95</v>
      </c>
      <c r="I797" t="s">
        <v>325</v>
      </c>
      <c r="J797" t="s">
        <v>326</v>
      </c>
      <c r="K797" t="s">
        <v>333</v>
      </c>
      <c r="L797" t="s">
        <v>342</v>
      </c>
      <c r="M797" t="s">
        <v>345</v>
      </c>
      <c r="N797" t="s">
        <v>351</v>
      </c>
      <c r="O797" t="s">
        <v>356</v>
      </c>
      <c r="P797" t="s">
        <v>360</v>
      </c>
      <c r="Q797">
        <v>145.76</v>
      </c>
      <c r="R797">
        <v>10</v>
      </c>
      <c r="S797">
        <v>32.82</v>
      </c>
    </row>
    <row r="798" spans="1:19" x14ac:dyDescent="0.25">
      <c r="A798">
        <v>797</v>
      </c>
      <c r="B798" s="2">
        <v>44350</v>
      </c>
      <c r="C798">
        <v>2021</v>
      </c>
      <c r="D798" t="s">
        <v>21</v>
      </c>
      <c r="E798" s="2">
        <v>44359</v>
      </c>
      <c r="F798">
        <v>9</v>
      </c>
      <c r="G798" t="s">
        <v>31</v>
      </c>
      <c r="H798" t="s">
        <v>273</v>
      </c>
      <c r="I798" t="s">
        <v>323</v>
      </c>
      <c r="J798" t="s">
        <v>326</v>
      </c>
      <c r="K798" t="s">
        <v>331</v>
      </c>
      <c r="L798" t="s">
        <v>340</v>
      </c>
      <c r="M798" t="s">
        <v>347</v>
      </c>
      <c r="N798" t="s">
        <v>350</v>
      </c>
      <c r="O798" t="s">
        <v>354</v>
      </c>
      <c r="P798" t="s">
        <v>359</v>
      </c>
      <c r="Q798">
        <v>250.2</v>
      </c>
      <c r="R798">
        <v>7</v>
      </c>
      <c r="S798">
        <v>91.29</v>
      </c>
    </row>
    <row r="799" spans="1:19" x14ac:dyDescent="0.25">
      <c r="A799">
        <v>798</v>
      </c>
      <c r="B799" s="2">
        <v>44374</v>
      </c>
      <c r="C799">
        <v>2021</v>
      </c>
      <c r="D799" t="s">
        <v>21</v>
      </c>
      <c r="E799" s="2">
        <v>44377</v>
      </c>
      <c r="F799">
        <v>3</v>
      </c>
      <c r="G799" t="s">
        <v>33</v>
      </c>
      <c r="H799" t="s">
        <v>80</v>
      </c>
      <c r="I799" t="s">
        <v>325</v>
      </c>
      <c r="J799" t="s">
        <v>328</v>
      </c>
      <c r="K799" t="s">
        <v>332</v>
      </c>
      <c r="L799" t="s">
        <v>341</v>
      </c>
      <c r="M799" t="s">
        <v>348</v>
      </c>
      <c r="N799" t="s">
        <v>350</v>
      </c>
      <c r="O799" t="s">
        <v>354</v>
      </c>
      <c r="P799" t="s">
        <v>362</v>
      </c>
      <c r="Q799">
        <v>207.3</v>
      </c>
      <c r="R799">
        <v>4</v>
      </c>
      <c r="S799">
        <v>-22.81</v>
      </c>
    </row>
    <row r="800" spans="1:19" x14ac:dyDescent="0.25">
      <c r="A800">
        <v>799</v>
      </c>
      <c r="B800" s="2">
        <v>44912</v>
      </c>
      <c r="C800">
        <v>2022</v>
      </c>
      <c r="D800" t="s">
        <v>29</v>
      </c>
      <c r="E800" s="2">
        <v>44913</v>
      </c>
      <c r="F800">
        <v>1</v>
      </c>
      <c r="G800" t="s">
        <v>31</v>
      </c>
      <c r="H800" t="s">
        <v>305</v>
      </c>
      <c r="I800" t="s">
        <v>324</v>
      </c>
      <c r="J800" t="s">
        <v>327</v>
      </c>
      <c r="K800" t="s">
        <v>330</v>
      </c>
      <c r="L800" t="s">
        <v>339</v>
      </c>
      <c r="M800" t="s">
        <v>346</v>
      </c>
      <c r="N800" t="s">
        <v>350</v>
      </c>
      <c r="O800" t="s">
        <v>353</v>
      </c>
      <c r="P800" t="s">
        <v>360</v>
      </c>
      <c r="Q800">
        <v>350.04</v>
      </c>
      <c r="R800">
        <v>10</v>
      </c>
      <c r="S800">
        <v>139.13999999999999</v>
      </c>
    </row>
    <row r="801" spans="1:19" x14ac:dyDescent="0.25">
      <c r="A801">
        <v>800</v>
      </c>
      <c r="B801" s="2">
        <v>44223</v>
      </c>
      <c r="C801">
        <v>2021</v>
      </c>
      <c r="D801" t="s">
        <v>23</v>
      </c>
      <c r="E801" s="2">
        <v>44233</v>
      </c>
      <c r="F801">
        <v>10</v>
      </c>
      <c r="G801" t="s">
        <v>32</v>
      </c>
      <c r="H801" t="s">
        <v>181</v>
      </c>
      <c r="I801" t="s">
        <v>324</v>
      </c>
      <c r="J801" t="s">
        <v>327</v>
      </c>
      <c r="K801" t="s">
        <v>337</v>
      </c>
      <c r="L801" t="s">
        <v>344</v>
      </c>
      <c r="M801" t="s">
        <v>347</v>
      </c>
      <c r="N801" t="s">
        <v>350</v>
      </c>
      <c r="O801" t="s">
        <v>354</v>
      </c>
      <c r="P801" t="s">
        <v>361</v>
      </c>
      <c r="Q801">
        <v>160.34</v>
      </c>
      <c r="R801">
        <v>6</v>
      </c>
      <c r="S801">
        <v>45.39</v>
      </c>
    </row>
    <row r="802" spans="1:19" x14ac:dyDescent="0.25">
      <c r="A802">
        <v>801</v>
      </c>
      <c r="B802" s="2">
        <v>45057</v>
      </c>
      <c r="C802">
        <v>2023</v>
      </c>
      <c r="D802" t="s">
        <v>19</v>
      </c>
      <c r="E802" s="2">
        <v>45063</v>
      </c>
      <c r="F802">
        <v>6</v>
      </c>
      <c r="G802" t="s">
        <v>33</v>
      </c>
      <c r="H802" t="s">
        <v>242</v>
      </c>
      <c r="I802" t="s">
        <v>323</v>
      </c>
      <c r="J802" t="s">
        <v>326</v>
      </c>
      <c r="K802" t="s">
        <v>329</v>
      </c>
      <c r="L802" t="s">
        <v>338</v>
      </c>
      <c r="M802" t="s">
        <v>345</v>
      </c>
      <c r="N802" t="s">
        <v>352</v>
      </c>
      <c r="O802" t="s">
        <v>357</v>
      </c>
      <c r="P802" t="s">
        <v>361</v>
      </c>
      <c r="Q802">
        <v>485.01</v>
      </c>
      <c r="R802">
        <v>8</v>
      </c>
      <c r="S802">
        <v>-72.61</v>
      </c>
    </row>
    <row r="803" spans="1:19" x14ac:dyDescent="0.25">
      <c r="A803">
        <v>802</v>
      </c>
      <c r="B803" s="2">
        <v>45134</v>
      </c>
      <c r="C803">
        <v>2023</v>
      </c>
      <c r="D803" t="s">
        <v>20</v>
      </c>
      <c r="E803" s="2">
        <v>45136</v>
      </c>
      <c r="F803">
        <v>2</v>
      </c>
      <c r="G803" t="s">
        <v>32</v>
      </c>
      <c r="H803" t="s">
        <v>283</v>
      </c>
      <c r="I803" t="s">
        <v>325</v>
      </c>
      <c r="J803" t="s">
        <v>327</v>
      </c>
      <c r="K803" t="s">
        <v>337</v>
      </c>
      <c r="L803" t="s">
        <v>344</v>
      </c>
      <c r="M803" t="s">
        <v>347</v>
      </c>
      <c r="N803" t="s">
        <v>351</v>
      </c>
      <c r="O803" t="s">
        <v>355</v>
      </c>
      <c r="P803" t="s">
        <v>360</v>
      </c>
      <c r="Q803">
        <v>84.89</v>
      </c>
      <c r="R803">
        <v>1</v>
      </c>
      <c r="S803">
        <v>20.420000000000002</v>
      </c>
    </row>
    <row r="804" spans="1:19" x14ac:dyDescent="0.25">
      <c r="A804">
        <v>803</v>
      </c>
      <c r="B804" s="2">
        <v>44029</v>
      </c>
      <c r="C804">
        <v>2020</v>
      </c>
      <c r="D804" t="s">
        <v>20</v>
      </c>
      <c r="E804" s="2">
        <v>44030</v>
      </c>
      <c r="F804">
        <v>1</v>
      </c>
      <c r="G804" t="s">
        <v>34</v>
      </c>
      <c r="H804" t="s">
        <v>118</v>
      </c>
      <c r="I804" t="s">
        <v>323</v>
      </c>
      <c r="J804" t="s">
        <v>328</v>
      </c>
      <c r="K804" t="s">
        <v>332</v>
      </c>
      <c r="L804" t="s">
        <v>341</v>
      </c>
      <c r="M804" t="s">
        <v>348</v>
      </c>
      <c r="N804" t="s">
        <v>350</v>
      </c>
      <c r="O804" t="s">
        <v>353</v>
      </c>
      <c r="P804" t="s">
        <v>359</v>
      </c>
      <c r="Q804">
        <v>410.7</v>
      </c>
      <c r="R804">
        <v>5</v>
      </c>
      <c r="S804">
        <v>46.19</v>
      </c>
    </row>
    <row r="805" spans="1:19" x14ac:dyDescent="0.25">
      <c r="A805">
        <v>804</v>
      </c>
      <c r="B805" s="2">
        <v>44986</v>
      </c>
      <c r="C805">
        <v>2023</v>
      </c>
      <c r="D805" t="s">
        <v>24</v>
      </c>
      <c r="E805" s="2">
        <v>44993</v>
      </c>
      <c r="F805">
        <v>7</v>
      </c>
      <c r="G805" t="s">
        <v>31</v>
      </c>
      <c r="H805" t="s">
        <v>168</v>
      </c>
      <c r="I805" t="s">
        <v>325</v>
      </c>
      <c r="J805" t="s">
        <v>327</v>
      </c>
      <c r="K805" t="s">
        <v>337</v>
      </c>
      <c r="L805" t="s">
        <v>344</v>
      </c>
      <c r="M805" t="s">
        <v>347</v>
      </c>
      <c r="N805" t="s">
        <v>350</v>
      </c>
      <c r="O805" t="s">
        <v>354</v>
      </c>
      <c r="P805" t="s">
        <v>361</v>
      </c>
      <c r="Q805">
        <v>99.16</v>
      </c>
      <c r="R805">
        <v>1</v>
      </c>
      <c r="S805">
        <v>6.68</v>
      </c>
    </row>
    <row r="806" spans="1:19" x14ac:dyDescent="0.25">
      <c r="A806">
        <v>805</v>
      </c>
      <c r="B806" s="2">
        <v>45200</v>
      </c>
      <c r="C806">
        <v>2023</v>
      </c>
      <c r="D806" t="s">
        <v>22</v>
      </c>
      <c r="E806" s="2">
        <v>45208</v>
      </c>
      <c r="F806">
        <v>8</v>
      </c>
      <c r="G806" t="s">
        <v>33</v>
      </c>
      <c r="H806" t="s">
        <v>91</v>
      </c>
      <c r="I806" t="s">
        <v>325</v>
      </c>
      <c r="J806" t="s">
        <v>328</v>
      </c>
      <c r="K806" t="s">
        <v>335</v>
      </c>
      <c r="L806" t="s">
        <v>335</v>
      </c>
      <c r="M806" t="s">
        <v>345</v>
      </c>
      <c r="N806" t="s">
        <v>352</v>
      </c>
      <c r="O806" t="s">
        <v>358</v>
      </c>
      <c r="P806" t="s">
        <v>361</v>
      </c>
      <c r="Q806">
        <v>130.87</v>
      </c>
      <c r="R806">
        <v>8</v>
      </c>
      <c r="S806">
        <v>-26.86</v>
      </c>
    </row>
    <row r="807" spans="1:19" x14ac:dyDescent="0.25">
      <c r="A807">
        <v>806</v>
      </c>
      <c r="B807" s="2">
        <v>44548</v>
      </c>
      <c r="C807">
        <v>2021</v>
      </c>
      <c r="D807" t="s">
        <v>29</v>
      </c>
      <c r="E807" s="2">
        <v>44550</v>
      </c>
      <c r="F807">
        <v>2</v>
      </c>
      <c r="G807" t="s">
        <v>32</v>
      </c>
      <c r="H807" t="s">
        <v>118</v>
      </c>
      <c r="I807" t="s">
        <v>324</v>
      </c>
      <c r="J807" t="s">
        <v>328</v>
      </c>
      <c r="K807" t="s">
        <v>332</v>
      </c>
      <c r="L807" t="s">
        <v>341</v>
      </c>
      <c r="M807" t="s">
        <v>348</v>
      </c>
      <c r="N807" t="s">
        <v>352</v>
      </c>
      <c r="O807" t="s">
        <v>357</v>
      </c>
      <c r="P807" t="s">
        <v>359</v>
      </c>
      <c r="Q807">
        <v>459.95</v>
      </c>
      <c r="R807">
        <v>7</v>
      </c>
      <c r="S807">
        <v>31.06</v>
      </c>
    </row>
    <row r="808" spans="1:19" x14ac:dyDescent="0.25">
      <c r="A808">
        <v>807</v>
      </c>
      <c r="B808" s="2">
        <v>45191</v>
      </c>
      <c r="C808">
        <v>2023</v>
      </c>
      <c r="D808" t="s">
        <v>25</v>
      </c>
      <c r="E808" s="2">
        <v>45198</v>
      </c>
      <c r="F808">
        <v>7</v>
      </c>
      <c r="G808" t="s">
        <v>31</v>
      </c>
      <c r="H808" t="s">
        <v>300</v>
      </c>
      <c r="I808" t="s">
        <v>325</v>
      </c>
      <c r="J808" t="s">
        <v>326</v>
      </c>
      <c r="K808" t="s">
        <v>331</v>
      </c>
      <c r="L808" t="s">
        <v>340</v>
      </c>
      <c r="M808" t="s">
        <v>347</v>
      </c>
      <c r="N808" t="s">
        <v>352</v>
      </c>
      <c r="O808" t="s">
        <v>358</v>
      </c>
      <c r="P808" t="s">
        <v>362</v>
      </c>
      <c r="Q808">
        <v>238.87</v>
      </c>
      <c r="R808">
        <v>9</v>
      </c>
      <c r="S808">
        <v>57.71</v>
      </c>
    </row>
    <row r="809" spans="1:19" x14ac:dyDescent="0.25">
      <c r="A809">
        <v>808</v>
      </c>
      <c r="B809" s="2">
        <v>45960</v>
      </c>
      <c r="C809">
        <v>2025</v>
      </c>
      <c r="D809" t="s">
        <v>22</v>
      </c>
      <c r="E809" s="2">
        <v>45964</v>
      </c>
      <c r="F809">
        <v>4</v>
      </c>
      <c r="G809" t="s">
        <v>34</v>
      </c>
      <c r="H809" t="s">
        <v>313</v>
      </c>
      <c r="I809" t="s">
        <v>325</v>
      </c>
      <c r="J809" t="s">
        <v>328</v>
      </c>
      <c r="K809" t="s">
        <v>335</v>
      </c>
      <c r="L809" t="s">
        <v>335</v>
      </c>
      <c r="M809" t="s">
        <v>345</v>
      </c>
      <c r="N809" t="s">
        <v>351</v>
      </c>
      <c r="O809" t="s">
        <v>356</v>
      </c>
      <c r="P809" t="s">
        <v>359</v>
      </c>
      <c r="Q809">
        <v>291.16000000000003</v>
      </c>
      <c r="R809">
        <v>10</v>
      </c>
      <c r="S809">
        <v>27.44</v>
      </c>
    </row>
    <row r="810" spans="1:19" x14ac:dyDescent="0.25">
      <c r="A810">
        <v>809</v>
      </c>
      <c r="B810" s="2">
        <v>45249</v>
      </c>
      <c r="C810">
        <v>2023</v>
      </c>
      <c r="D810" t="s">
        <v>30</v>
      </c>
      <c r="E810" s="2">
        <v>45258</v>
      </c>
      <c r="F810">
        <v>9</v>
      </c>
      <c r="G810" t="s">
        <v>31</v>
      </c>
      <c r="H810" t="s">
        <v>265</v>
      </c>
      <c r="I810" t="s">
        <v>323</v>
      </c>
      <c r="J810" t="s">
        <v>326</v>
      </c>
      <c r="K810" t="s">
        <v>333</v>
      </c>
      <c r="L810" t="s">
        <v>342</v>
      </c>
      <c r="M810" t="s">
        <v>345</v>
      </c>
      <c r="N810" t="s">
        <v>351</v>
      </c>
      <c r="O810" t="s">
        <v>355</v>
      </c>
      <c r="P810" t="s">
        <v>360</v>
      </c>
      <c r="Q810">
        <v>480.33</v>
      </c>
      <c r="R810">
        <v>4</v>
      </c>
      <c r="S810">
        <v>164.69</v>
      </c>
    </row>
    <row r="811" spans="1:19" x14ac:dyDescent="0.25">
      <c r="A811">
        <v>810</v>
      </c>
      <c r="B811" s="2">
        <v>45613</v>
      </c>
      <c r="C811">
        <v>2024</v>
      </c>
      <c r="D811" t="s">
        <v>30</v>
      </c>
      <c r="E811" s="2">
        <v>45621</v>
      </c>
      <c r="F811">
        <v>8</v>
      </c>
      <c r="G811" t="s">
        <v>31</v>
      </c>
      <c r="H811" t="s">
        <v>208</v>
      </c>
      <c r="I811" t="s">
        <v>323</v>
      </c>
      <c r="J811" t="s">
        <v>328</v>
      </c>
      <c r="K811" t="s">
        <v>335</v>
      </c>
      <c r="L811" t="s">
        <v>335</v>
      </c>
      <c r="M811" t="s">
        <v>345</v>
      </c>
      <c r="N811" t="s">
        <v>352</v>
      </c>
      <c r="O811" t="s">
        <v>358</v>
      </c>
      <c r="P811" t="s">
        <v>359</v>
      </c>
      <c r="Q811">
        <v>380.17</v>
      </c>
      <c r="R811">
        <v>9</v>
      </c>
      <c r="S811">
        <v>53.99</v>
      </c>
    </row>
    <row r="812" spans="1:19" x14ac:dyDescent="0.25">
      <c r="A812">
        <v>811</v>
      </c>
      <c r="B812" s="2">
        <v>44894</v>
      </c>
      <c r="C812">
        <v>2022</v>
      </c>
      <c r="D812" t="s">
        <v>30</v>
      </c>
      <c r="E812" s="2">
        <v>44898</v>
      </c>
      <c r="F812">
        <v>4</v>
      </c>
      <c r="G812" t="s">
        <v>34</v>
      </c>
      <c r="H812" t="s">
        <v>106</v>
      </c>
      <c r="I812" t="s">
        <v>324</v>
      </c>
      <c r="J812" t="s">
        <v>326</v>
      </c>
      <c r="K812" t="s">
        <v>331</v>
      </c>
      <c r="L812" t="s">
        <v>340</v>
      </c>
      <c r="M812" t="s">
        <v>347</v>
      </c>
      <c r="N812" t="s">
        <v>352</v>
      </c>
      <c r="O812" t="s">
        <v>357</v>
      </c>
      <c r="P812" t="s">
        <v>359</v>
      </c>
      <c r="Q812">
        <v>60.78</v>
      </c>
      <c r="R812">
        <v>7</v>
      </c>
      <c r="S812">
        <v>11.95</v>
      </c>
    </row>
    <row r="813" spans="1:19" x14ac:dyDescent="0.25">
      <c r="A813">
        <v>812</v>
      </c>
      <c r="B813" s="2">
        <v>44079</v>
      </c>
      <c r="C813">
        <v>2020</v>
      </c>
      <c r="D813" t="s">
        <v>25</v>
      </c>
      <c r="E813" s="2">
        <v>44089</v>
      </c>
      <c r="F813">
        <v>10</v>
      </c>
      <c r="G813" t="s">
        <v>32</v>
      </c>
      <c r="H813" t="s">
        <v>55</v>
      </c>
      <c r="I813" t="s">
        <v>323</v>
      </c>
      <c r="J813" t="s">
        <v>327</v>
      </c>
      <c r="K813" t="s">
        <v>337</v>
      </c>
      <c r="L813" t="s">
        <v>344</v>
      </c>
      <c r="M813" t="s">
        <v>347</v>
      </c>
      <c r="N813" t="s">
        <v>350</v>
      </c>
      <c r="O813" t="s">
        <v>354</v>
      </c>
      <c r="P813" t="s">
        <v>360</v>
      </c>
      <c r="Q813">
        <v>295.31</v>
      </c>
      <c r="R813">
        <v>7</v>
      </c>
      <c r="S813">
        <v>91.85</v>
      </c>
    </row>
    <row r="814" spans="1:19" x14ac:dyDescent="0.25">
      <c r="A814">
        <v>813</v>
      </c>
      <c r="B814" s="2">
        <v>44666</v>
      </c>
      <c r="C814">
        <v>2022</v>
      </c>
      <c r="D814" t="s">
        <v>26</v>
      </c>
      <c r="E814" s="2">
        <v>44670</v>
      </c>
      <c r="F814">
        <v>4</v>
      </c>
      <c r="G814" t="s">
        <v>31</v>
      </c>
      <c r="H814" t="s">
        <v>307</v>
      </c>
      <c r="I814" t="s">
        <v>324</v>
      </c>
      <c r="J814" t="s">
        <v>328</v>
      </c>
      <c r="K814" t="s">
        <v>335</v>
      </c>
      <c r="L814" t="s">
        <v>335</v>
      </c>
      <c r="M814" t="s">
        <v>345</v>
      </c>
      <c r="N814" t="s">
        <v>350</v>
      </c>
      <c r="O814" t="s">
        <v>354</v>
      </c>
      <c r="P814" t="s">
        <v>360</v>
      </c>
      <c r="Q814">
        <v>62.03</v>
      </c>
      <c r="R814">
        <v>9</v>
      </c>
      <c r="S814">
        <v>-17.920000000000002</v>
      </c>
    </row>
    <row r="815" spans="1:19" x14ac:dyDescent="0.25">
      <c r="A815">
        <v>814</v>
      </c>
      <c r="B815" s="2">
        <v>45079</v>
      </c>
      <c r="C815">
        <v>2023</v>
      </c>
      <c r="D815" t="s">
        <v>21</v>
      </c>
      <c r="E815" s="2">
        <v>45085</v>
      </c>
      <c r="F815">
        <v>6</v>
      </c>
      <c r="G815" t="s">
        <v>34</v>
      </c>
      <c r="H815" t="s">
        <v>219</v>
      </c>
      <c r="I815" t="s">
        <v>325</v>
      </c>
      <c r="J815" t="s">
        <v>328</v>
      </c>
      <c r="K815" t="s">
        <v>332</v>
      </c>
      <c r="L815" t="s">
        <v>341</v>
      </c>
      <c r="M815" t="s">
        <v>348</v>
      </c>
      <c r="N815" t="s">
        <v>350</v>
      </c>
      <c r="O815" t="s">
        <v>354</v>
      </c>
      <c r="P815" t="s">
        <v>361</v>
      </c>
      <c r="Q815">
        <v>246.67</v>
      </c>
      <c r="R815">
        <v>7</v>
      </c>
      <c r="S815">
        <v>-13.01</v>
      </c>
    </row>
    <row r="816" spans="1:19" x14ac:dyDescent="0.25">
      <c r="A816">
        <v>815</v>
      </c>
      <c r="B816" s="2">
        <v>44146</v>
      </c>
      <c r="C816">
        <v>2020</v>
      </c>
      <c r="D816" t="s">
        <v>30</v>
      </c>
      <c r="E816" s="2">
        <v>44148</v>
      </c>
      <c r="F816">
        <v>2</v>
      </c>
      <c r="G816" t="s">
        <v>32</v>
      </c>
      <c r="H816" t="s">
        <v>52</v>
      </c>
      <c r="I816" t="s">
        <v>323</v>
      </c>
      <c r="J816" t="s">
        <v>328</v>
      </c>
      <c r="K816" t="s">
        <v>336</v>
      </c>
      <c r="L816" t="s">
        <v>343</v>
      </c>
      <c r="M816" t="s">
        <v>347</v>
      </c>
      <c r="N816" t="s">
        <v>352</v>
      </c>
      <c r="O816" t="s">
        <v>358</v>
      </c>
      <c r="P816" t="s">
        <v>360</v>
      </c>
      <c r="Q816">
        <v>84.17</v>
      </c>
      <c r="R816">
        <v>2</v>
      </c>
      <c r="S816">
        <v>13.83</v>
      </c>
    </row>
    <row r="817" spans="1:19" x14ac:dyDescent="0.25">
      <c r="A817">
        <v>816</v>
      </c>
      <c r="B817" s="2">
        <v>44993</v>
      </c>
      <c r="C817">
        <v>2023</v>
      </c>
      <c r="D817" t="s">
        <v>24</v>
      </c>
      <c r="E817" s="2">
        <v>45000</v>
      </c>
      <c r="F817">
        <v>7</v>
      </c>
      <c r="G817" t="s">
        <v>31</v>
      </c>
      <c r="H817" t="s">
        <v>237</v>
      </c>
      <c r="I817" t="s">
        <v>323</v>
      </c>
      <c r="J817" t="s">
        <v>328</v>
      </c>
      <c r="K817" t="s">
        <v>335</v>
      </c>
      <c r="L817" t="s">
        <v>335</v>
      </c>
      <c r="M817" t="s">
        <v>345</v>
      </c>
      <c r="N817" t="s">
        <v>350</v>
      </c>
      <c r="O817" t="s">
        <v>354</v>
      </c>
      <c r="P817" t="s">
        <v>359</v>
      </c>
      <c r="Q817">
        <v>282.52</v>
      </c>
      <c r="R817">
        <v>8</v>
      </c>
      <c r="S817">
        <v>47.96</v>
      </c>
    </row>
    <row r="818" spans="1:19" x14ac:dyDescent="0.25">
      <c r="A818">
        <v>817</v>
      </c>
      <c r="B818" s="2">
        <v>44558</v>
      </c>
      <c r="C818">
        <v>2021</v>
      </c>
      <c r="D818" t="s">
        <v>29</v>
      </c>
      <c r="E818" s="2">
        <v>44567</v>
      </c>
      <c r="F818">
        <v>9</v>
      </c>
      <c r="G818" t="s">
        <v>34</v>
      </c>
      <c r="H818" t="s">
        <v>88</v>
      </c>
      <c r="I818" t="s">
        <v>323</v>
      </c>
      <c r="J818" t="s">
        <v>326</v>
      </c>
      <c r="K818" t="s">
        <v>333</v>
      </c>
      <c r="L818" t="s">
        <v>342</v>
      </c>
      <c r="M818" t="s">
        <v>345</v>
      </c>
      <c r="N818" t="s">
        <v>352</v>
      </c>
      <c r="O818" t="s">
        <v>357</v>
      </c>
      <c r="P818" t="s">
        <v>360</v>
      </c>
      <c r="Q818">
        <v>291.91000000000003</v>
      </c>
      <c r="R818">
        <v>2</v>
      </c>
      <c r="S818">
        <v>28.58</v>
      </c>
    </row>
    <row r="819" spans="1:19" x14ac:dyDescent="0.25">
      <c r="A819">
        <v>818</v>
      </c>
      <c r="B819" s="2">
        <v>44592</v>
      </c>
      <c r="C819">
        <v>2022</v>
      </c>
      <c r="D819" t="s">
        <v>23</v>
      </c>
      <c r="E819" s="2">
        <v>44593</v>
      </c>
      <c r="F819">
        <v>1</v>
      </c>
      <c r="G819" t="s">
        <v>31</v>
      </c>
      <c r="H819" t="s">
        <v>178</v>
      </c>
      <c r="I819" t="s">
        <v>325</v>
      </c>
      <c r="J819" t="s">
        <v>326</v>
      </c>
      <c r="K819" t="s">
        <v>331</v>
      </c>
      <c r="L819" t="s">
        <v>340</v>
      </c>
      <c r="M819" t="s">
        <v>347</v>
      </c>
      <c r="N819" t="s">
        <v>350</v>
      </c>
      <c r="O819" t="s">
        <v>354</v>
      </c>
      <c r="P819" t="s">
        <v>360</v>
      </c>
      <c r="Q819">
        <v>466.73</v>
      </c>
      <c r="R819">
        <v>3</v>
      </c>
      <c r="S819">
        <v>-124.87</v>
      </c>
    </row>
    <row r="820" spans="1:19" x14ac:dyDescent="0.25">
      <c r="A820">
        <v>819</v>
      </c>
      <c r="B820" s="2">
        <v>43850</v>
      </c>
      <c r="C820">
        <v>2020</v>
      </c>
      <c r="D820" t="s">
        <v>23</v>
      </c>
      <c r="E820" s="2">
        <v>43853</v>
      </c>
      <c r="F820">
        <v>3</v>
      </c>
      <c r="G820" t="s">
        <v>31</v>
      </c>
      <c r="H820" t="s">
        <v>48</v>
      </c>
      <c r="I820" t="s">
        <v>324</v>
      </c>
      <c r="J820" t="s">
        <v>326</v>
      </c>
      <c r="K820" t="s">
        <v>329</v>
      </c>
      <c r="L820" t="s">
        <v>338</v>
      </c>
      <c r="M820" t="s">
        <v>345</v>
      </c>
      <c r="N820" t="s">
        <v>351</v>
      </c>
      <c r="O820" t="s">
        <v>356</v>
      </c>
      <c r="P820" t="s">
        <v>362</v>
      </c>
      <c r="Q820">
        <v>179.83</v>
      </c>
      <c r="R820">
        <v>1</v>
      </c>
      <c r="S820">
        <v>-31.43</v>
      </c>
    </row>
    <row r="821" spans="1:19" x14ac:dyDescent="0.25">
      <c r="A821">
        <v>820</v>
      </c>
      <c r="B821" s="2">
        <v>43832</v>
      </c>
      <c r="C821">
        <v>2020</v>
      </c>
      <c r="D821" t="s">
        <v>23</v>
      </c>
      <c r="E821" s="2">
        <v>43838</v>
      </c>
      <c r="F821">
        <v>6</v>
      </c>
      <c r="G821" t="s">
        <v>32</v>
      </c>
      <c r="H821" t="s">
        <v>149</v>
      </c>
      <c r="I821" t="s">
        <v>324</v>
      </c>
      <c r="J821" t="s">
        <v>327</v>
      </c>
      <c r="K821" t="s">
        <v>337</v>
      </c>
      <c r="L821" t="s">
        <v>344</v>
      </c>
      <c r="M821" t="s">
        <v>347</v>
      </c>
      <c r="N821" t="s">
        <v>351</v>
      </c>
      <c r="O821" t="s">
        <v>356</v>
      </c>
      <c r="P821" t="s">
        <v>359</v>
      </c>
      <c r="Q821">
        <v>119.75</v>
      </c>
      <c r="R821">
        <v>4</v>
      </c>
      <c r="S821">
        <v>35.75</v>
      </c>
    </row>
    <row r="822" spans="1:19" x14ac:dyDescent="0.25">
      <c r="A822">
        <v>821</v>
      </c>
      <c r="B822" s="2">
        <v>44537</v>
      </c>
      <c r="C822">
        <v>2021</v>
      </c>
      <c r="D822" t="s">
        <v>29</v>
      </c>
      <c r="E822" s="2">
        <v>44543</v>
      </c>
      <c r="F822">
        <v>6</v>
      </c>
      <c r="G822" t="s">
        <v>31</v>
      </c>
      <c r="H822" t="s">
        <v>298</v>
      </c>
      <c r="I822" t="s">
        <v>324</v>
      </c>
      <c r="J822" t="s">
        <v>328</v>
      </c>
      <c r="K822" t="s">
        <v>336</v>
      </c>
      <c r="L822" t="s">
        <v>343</v>
      </c>
      <c r="M822" t="s">
        <v>347</v>
      </c>
      <c r="N822" t="s">
        <v>352</v>
      </c>
      <c r="O822" t="s">
        <v>357</v>
      </c>
      <c r="P822" t="s">
        <v>362</v>
      </c>
      <c r="Q822">
        <v>158.38999999999999</v>
      </c>
      <c r="R822">
        <v>10</v>
      </c>
      <c r="S822">
        <v>-39.07</v>
      </c>
    </row>
    <row r="823" spans="1:19" x14ac:dyDescent="0.25">
      <c r="A823">
        <v>822</v>
      </c>
      <c r="B823" s="2">
        <v>44996</v>
      </c>
      <c r="C823">
        <v>2023</v>
      </c>
      <c r="D823" t="s">
        <v>24</v>
      </c>
      <c r="E823" s="2">
        <v>45000</v>
      </c>
      <c r="F823">
        <v>4</v>
      </c>
      <c r="G823" t="s">
        <v>32</v>
      </c>
      <c r="H823" t="s">
        <v>314</v>
      </c>
      <c r="I823" t="s">
        <v>325</v>
      </c>
      <c r="J823" t="s">
        <v>326</v>
      </c>
      <c r="K823" t="s">
        <v>333</v>
      </c>
      <c r="L823" t="s">
        <v>342</v>
      </c>
      <c r="M823" t="s">
        <v>345</v>
      </c>
      <c r="N823" t="s">
        <v>351</v>
      </c>
      <c r="O823" t="s">
        <v>355</v>
      </c>
      <c r="P823" t="s">
        <v>359</v>
      </c>
      <c r="Q823">
        <v>119.38</v>
      </c>
      <c r="R823">
        <v>7</v>
      </c>
      <c r="S823">
        <v>54.29</v>
      </c>
    </row>
    <row r="824" spans="1:19" x14ac:dyDescent="0.25">
      <c r="A824">
        <v>823</v>
      </c>
      <c r="B824" s="2">
        <v>44190</v>
      </c>
      <c r="C824">
        <v>2020</v>
      </c>
      <c r="D824" t="s">
        <v>29</v>
      </c>
      <c r="E824" s="2">
        <v>44194</v>
      </c>
      <c r="F824">
        <v>4</v>
      </c>
      <c r="G824" t="s">
        <v>32</v>
      </c>
      <c r="H824" t="s">
        <v>275</v>
      </c>
      <c r="I824" t="s">
        <v>323</v>
      </c>
      <c r="J824" t="s">
        <v>327</v>
      </c>
      <c r="K824" t="s">
        <v>330</v>
      </c>
      <c r="L824" t="s">
        <v>339</v>
      </c>
      <c r="M824" t="s">
        <v>346</v>
      </c>
      <c r="N824" t="s">
        <v>350</v>
      </c>
      <c r="O824" t="s">
        <v>354</v>
      </c>
      <c r="P824" t="s">
        <v>360</v>
      </c>
      <c r="Q824">
        <v>414.26</v>
      </c>
      <c r="R824">
        <v>4</v>
      </c>
      <c r="S824">
        <v>-52.41</v>
      </c>
    </row>
    <row r="825" spans="1:19" x14ac:dyDescent="0.25">
      <c r="A825">
        <v>824</v>
      </c>
      <c r="B825" s="2">
        <v>43924</v>
      </c>
      <c r="C825">
        <v>2020</v>
      </c>
      <c r="D825" t="s">
        <v>26</v>
      </c>
      <c r="E825" s="2">
        <v>43927</v>
      </c>
      <c r="F825">
        <v>3</v>
      </c>
      <c r="G825" t="s">
        <v>33</v>
      </c>
      <c r="H825" t="s">
        <v>237</v>
      </c>
      <c r="I825" t="s">
        <v>325</v>
      </c>
      <c r="J825" t="s">
        <v>328</v>
      </c>
      <c r="K825" t="s">
        <v>335</v>
      </c>
      <c r="L825" t="s">
        <v>335</v>
      </c>
      <c r="M825" t="s">
        <v>345</v>
      </c>
      <c r="N825" t="s">
        <v>351</v>
      </c>
      <c r="O825" t="s">
        <v>355</v>
      </c>
      <c r="P825" t="s">
        <v>360</v>
      </c>
      <c r="Q825">
        <v>31.3</v>
      </c>
      <c r="R825">
        <v>3</v>
      </c>
      <c r="S825">
        <v>5.63</v>
      </c>
    </row>
    <row r="826" spans="1:19" x14ac:dyDescent="0.25">
      <c r="A826">
        <v>825</v>
      </c>
      <c r="B826" s="2">
        <v>45427</v>
      </c>
      <c r="C826">
        <v>2024</v>
      </c>
      <c r="D826" t="s">
        <v>19</v>
      </c>
      <c r="E826" s="2">
        <v>45433</v>
      </c>
      <c r="F826">
        <v>6</v>
      </c>
      <c r="G826" t="s">
        <v>33</v>
      </c>
      <c r="H826" t="s">
        <v>55</v>
      </c>
      <c r="I826" t="s">
        <v>323</v>
      </c>
      <c r="J826" t="s">
        <v>326</v>
      </c>
      <c r="K826" t="s">
        <v>333</v>
      </c>
      <c r="L826" t="s">
        <v>342</v>
      </c>
      <c r="M826" t="s">
        <v>345</v>
      </c>
      <c r="N826" t="s">
        <v>352</v>
      </c>
      <c r="O826" t="s">
        <v>357</v>
      </c>
      <c r="P826" t="s">
        <v>359</v>
      </c>
      <c r="Q826">
        <v>131.55000000000001</v>
      </c>
      <c r="R826">
        <v>10</v>
      </c>
      <c r="S826">
        <v>-1.81</v>
      </c>
    </row>
    <row r="827" spans="1:19" x14ac:dyDescent="0.25">
      <c r="A827">
        <v>826</v>
      </c>
      <c r="B827" s="2">
        <v>45157</v>
      </c>
      <c r="C827">
        <v>2023</v>
      </c>
      <c r="D827" t="s">
        <v>27</v>
      </c>
      <c r="E827" s="2">
        <v>45158</v>
      </c>
      <c r="F827">
        <v>1</v>
      </c>
      <c r="G827" t="s">
        <v>32</v>
      </c>
      <c r="H827" t="s">
        <v>130</v>
      </c>
      <c r="I827" t="s">
        <v>324</v>
      </c>
      <c r="J827" t="s">
        <v>328</v>
      </c>
      <c r="K827" t="s">
        <v>335</v>
      </c>
      <c r="L827" t="s">
        <v>335</v>
      </c>
      <c r="M827" t="s">
        <v>345</v>
      </c>
      <c r="N827" t="s">
        <v>352</v>
      </c>
      <c r="O827" t="s">
        <v>357</v>
      </c>
      <c r="P827" t="s">
        <v>362</v>
      </c>
      <c r="Q827">
        <v>494.25</v>
      </c>
      <c r="R827">
        <v>8</v>
      </c>
      <c r="S827">
        <v>-80.87</v>
      </c>
    </row>
    <row r="828" spans="1:19" x14ac:dyDescent="0.25">
      <c r="A828">
        <v>827</v>
      </c>
      <c r="B828" s="2">
        <v>45341</v>
      </c>
      <c r="C828">
        <v>2024</v>
      </c>
      <c r="D828" t="s">
        <v>28</v>
      </c>
      <c r="E828" s="2">
        <v>45343</v>
      </c>
      <c r="F828">
        <v>2</v>
      </c>
      <c r="G828" t="s">
        <v>33</v>
      </c>
      <c r="H828" t="s">
        <v>134</v>
      </c>
      <c r="I828" t="s">
        <v>324</v>
      </c>
      <c r="J828" t="s">
        <v>327</v>
      </c>
      <c r="K828" t="s">
        <v>337</v>
      </c>
      <c r="L828" t="s">
        <v>344</v>
      </c>
      <c r="M828" t="s">
        <v>347</v>
      </c>
      <c r="N828" t="s">
        <v>352</v>
      </c>
      <c r="O828" t="s">
        <v>358</v>
      </c>
      <c r="P828" t="s">
        <v>360</v>
      </c>
      <c r="Q828">
        <v>286.32</v>
      </c>
      <c r="R828">
        <v>1</v>
      </c>
      <c r="S828">
        <v>128.28</v>
      </c>
    </row>
    <row r="829" spans="1:19" x14ac:dyDescent="0.25">
      <c r="A829">
        <v>828</v>
      </c>
      <c r="B829" s="2">
        <v>44707</v>
      </c>
      <c r="C829">
        <v>2022</v>
      </c>
      <c r="D829" t="s">
        <v>19</v>
      </c>
      <c r="E829" s="2">
        <v>44716</v>
      </c>
      <c r="F829">
        <v>9</v>
      </c>
      <c r="G829" t="s">
        <v>34</v>
      </c>
      <c r="H829" t="s">
        <v>110</v>
      </c>
      <c r="I829" t="s">
        <v>325</v>
      </c>
      <c r="J829" t="s">
        <v>326</v>
      </c>
      <c r="K829" t="s">
        <v>331</v>
      </c>
      <c r="L829" t="s">
        <v>340</v>
      </c>
      <c r="M829" t="s">
        <v>347</v>
      </c>
      <c r="N829" t="s">
        <v>350</v>
      </c>
      <c r="O829" t="s">
        <v>353</v>
      </c>
      <c r="P829" t="s">
        <v>360</v>
      </c>
      <c r="Q829">
        <v>398.71</v>
      </c>
      <c r="R829">
        <v>7</v>
      </c>
      <c r="S829">
        <v>177.28</v>
      </c>
    </row>
    <row r="830" spans="1:19" x14ac:dyDescent="0.25">
      <c r="A830">
        <v>829</v>
      </c>
      <c r="B830" s="2">
        <v>45331</v>
      </c>
      <c r="C830">
        <v>2024</v>
      </c>
      <c r="D830" t="s">
        <v>28</v>
      </c>
      <c r="E830" s="2">
        <v>45341</v>
      </c>
      <c r="F830">
        <v>10</v>
      </c>
      <c r="G830" t="s">
        <v>33</v>
      </c>
      <c r="H830" t="s">
        <v>285</v>
      </c>
      <c r="I830" t="s">
        <v>324</v>
      </c>
      <c r="J830" t="s">
        <v>327</v>
      </c>
      <c r="K830" t="s">
        <v>334</v>
      </c>
      <c r="L830" t="s">
        <v>334</v>
      </c>
      <c r="M830" t="s">
        <v>349</v>
      </c>
      <c r="N830" t="s">
        <v>350</v>
      </c>
      <c r="O830" t="s">
        <v>353</v>
      </c>
      <c r="P830" t="s">
        <v>360</v>
      </c>
      <c r="Q830">
        <v>334.98</v>
      </c>
      <c r="R830">
        <v>4</v>
      </c>
      <c r="S830">
        <v>54.77</v>
      </c>
    </row>
    <row r="831" spans="1:19" x14ac:dyDescent="0.25">
      <c r="A831">
        <v>830</v>
      </c>
      <c r="B831" s="2">
        <v>44235</v>
      </c>
      <c r="C831">
        <v>2021</v>
      </c>
      <c r="D831" t="s">
        <v>28</v>
      </c>
      <c r="E831" s="2">
        <v>44238</v>
      </c>
      <c r="F831">
        <v>3</v>
      </c>
      <c r="G831" t="s">
        <v>34</v>
      </c>
      <c r="H831" t="s">
        <v>234</v>
      </c>
      <c r="I831" t="s">
        <v>323</v>
      </c>
      <c r="J831" t="s">
        <v>326</v>
      </c>
      <c r="K831" t="s">
        <v>331</v>
      </c>
      <c r="L831" t="s">
        <v>340</v>
      </c>
      <c r="M831" t="s">
        <v>347</v>
      </c>
      <c r="N831" t="s">
        <v>352</v>
      </c>
      <c r="O831" t="s">
        <v>358</v>
      </c>
      <c r="P831" t="s">
        <v>362</v>
      </c>
      <c r="Q831">
        <v>314.95</v>
      </c>
      <c r="R831">
        <v>1</v>
      </c>
      <c r="S831">
        <v>96.6</v>
      </c>
    </row>
    <row r="832" spans="1:19" x14ac:dyDescent="0.25">
      <c r="A832">
        <v>831</v>
      </c>
      <c r="B832" s="2">
        <v>45911</v>
      </c>
      <c r="C832">
        <v>2025</v>
      </c>
      <c r="D832" t="s">
        <v>25</v>
      </c>
      <c r="E832" s="2">
        <v>45912</v>
      </c>
      <c r="F832">
        <v>1</v>
      </c>
      <c r="G832" t="s">
        <v>31</v>
      </c>
      <c r="H832" t="s">
        <v>75</v>
      </c>
      <c r="I832" t="s">
        <v>323</v>
      </c>
      <c r="J832" t="s">
        <v>327</v>
      </c>
      <c r="K832" t="s">
        <v>334</v>
      </c>
      <c r="L832" t="s">
        <v>334</v>
      </c>
      <c r="M832" t="s">
        <v>349</v>
      </c>
      <c r="N832" t="s">
        <v>351</v>
      </c>
      <c r="O832" t="s">
        <v>355</v>
      </c>
      <c r="P832" t="s">
        <v>360</v>
      </c>
      <c r="Q832">
        <v>344.33</v>
      </c>
      <c r="R832">
        <v>2</v>
      </c>
      <c r="S832">
        <v>31.07</v>
      </c>
    </row>
    <row r="833" spans="1:19" x14ac:dyDescent="0.25">
      <c r="A833">
        <v>832</v>
      </c>
      <c r="B833" s="2">
        <v>44500</v>
      </c>
      <c r="C833">
        <v>2021</v>
      </c>
      <c r="D833" t="s">
        <v>22</v>
      </c>
      <c r="E833" s="2">
        <v>44508</v>
      </c>
      <c r="F833">
        <v>8</v>
      </c>
      <c r="G833" t="s">
        <v>31</v>
      </c>
      <c r="H833" t="s">
        <v>71</v>
      </c>
      <c r="I833" t="s">
        <v>324</v>
      </c>
      <c r="J833" t="s">
        <v>328</v>
      </c>
      <c r="K833" t="s">
        <v>336</v>
      </c>
      <c r="L833" t="s">
        <v>343</v>
      </c>
      <c r="M833" t="s">
        <v>347</v>
      </c>
      <c r="N833" t="s">
        <v>351</v>
      </c>
      <c r="O833" t="s">
        <v>356</v>
      </c>
      <c r="P833" t="s">
        <v>361</v>
      </c>
      <c r="Q833">
        <v>33.56</v>
      </c>
      <c r="R833">
        <v>10</v>
      </c>
      <c r="S833">
        <v>8.4</v>
      </c>
    </row>
    <row r="834" spans="1:19" x14ac:dyDescent="0.25">
      <c r="A834">
        <v>833</v>
      </c>
      <c r="B834" s="2">
        <v>44967</v>
      </c>
      <c r="C834">
        <v>2023</v>
      </c>
      <c r="D834" t="s">
        <v>28</v>
      </c>
      <c r="E834" s="2">
        <v>44972</v>
      </c>
      <c r="F834">
        <v>5</v>
      </c>
      <c r="G834" t="s">
        <v>33</v>
      </c>
      <c r="H834" t="s">
        <v>186</v>
      </c>
      <c r="I834" t="s">
        <v>323</v>
      </c>
      <c r="J834" t="s">
        <v>326</v>
      </c>
      <c r="K834" t="s">
        <v>331</v>
      </c>
      <c r="L834" t="s">
        <v>340</v>
      </c>
      <c r="M834" t="s">
        <v>347</v>
      </c>
      <c r="N834" t="s">
        <v>351</v>
      </c>
      <c r="O834" t="s">
        <v>355</v>
      </c>
      <c r="P834" t="s">
        <v>359</v>
      </c>
      <c r="Q834">
        <v>353.03</v>
      </c>
      <c r="R834">
        <v>8</v>
      </c>
      <c r="S834">
        <v>16.809999999999999</v>
      </c>
    </row>
    <row r="835" spans="1:19" x14ac:dyDescent="0.25">
      <c r="A835">
        <v>834</v>
      </c>
      <c r="B835" s="2">
        <v>44984</v>
      </c>
      <c r="C835">
        <v>2023</v>
      </c>
      <c r="D835" t="s">
        <v>28</v>
      </c>
      <c r="E835" s="2">
        <v>44992</v>
      </c>
      <c r="F835">
        <v>8</v>
      </c>
      <c r="G835" t="s">
        <v>32</v>
      </c>
      <c r="H835" t="s">
        <v>192</v>
      </c>
      <c r="I835" t="s">
        <v>323</v>
      </c>
      <c r="J835" t="s">
        <v>326</v>
      </c>
      <c r="K835" t="s">
        <v>333</v>
      </c>
      <c r="L835" t="s">
        <v>342</v>
      </c>
      <c r="M835" t="s">
        <v>345</v>
      </c>
      <c r="N835" t="s">
        <v>352</v>
      </c>
      <c r="O835" t="s">
        <v>357</v>
      </c>
      <c r="P835" t="s">
        <v>362</v>
      </c>
      <c r="Q835">
        <v>442.47</v>
      </c>
      <c r="R835">
        <v>4</v>
      </c>
      <c r="S835">
        <v>-109.44</v>
      </c>
    </row>
    <row r="836" spans="1:19" x14ac:dyDescent="0.25">
      <c r="A836">
        <v>835</v>
      </c>
      <c r="B836" s="2">
        <v>44581</v>
      </c>
      <c r="C836">
        <v>2022</v>
      </c>
      <c r="D836" t="s">
        <v>23</v>
      </c>
      <c r="E836" s="2">
        <v>44587</v>
      </c>
      <c r="F836">
        <v>6</v>
      </c>
      <c r="G836" t="s">
        <v>31</v>
      </c>
      <c r="H836" t="s">
        <v>169</v>
      </c>
      <c r="I836" t="s">
        <v>324</v>
      </c>
      <c r="J836" t="s">
        <v>327</v>
      </c>
      <c r="K836" t="s">
        <v>334</v>
      </c>
      <c r="L836" t="s">
        <v>334</v>
      </c>
      <c r="M836" t="s">
        <v>349</v>
      </c>
      <c r="N836" t="s">
        <v>350</v>
      </c>
      <c r="O836" t="s">
        <v>353</v>
      </c>
      <c r="P836" t="s">
        <v>359</v>
      </c>
      <c r="Q836">
        <v>306.62</v>
      </c>
      <c r="R836">
        <v>7</v>
      </c>
      <c r="S836">
        <v>-86.07</v>
      </c>
    </row>
    <row r="837" spans="1:19" x14ac:dyDescent="0.25">
      <c r="A837">
        <v>836</v>
      </c>
      <c r="B837" s="2">
        <v>45925</v>
      </c>
      <c r="C837">
        <v>2025</v>
      </c>
      <c r="D837" t="s">
        <v>25</v>
      </c>
      <c r="E837" s="2">
        <v>45927</v>
      </c>
      <c r="F837">
        <v>2</v>
      </c>
      <c r="G837" t="s">
        <v>31</v>
      </c>
      <c r="H837" t="s">
        <v>116</v>
      </c>
      <c r="I837" t="s">
        <v>325</v>
      </c>
      <c r="J837" t="s">
        <v>327</v>
      </c>
      <c r="K837" t="s">
        <v>334</v>
      </c>
      <c r="L837" t="s">
        <v>334</v>
      </c>
      <c r="M837" t="s">
        <v>349</v>
      </c>
      <c r="N837" t="s">
        <v>352</v>
      </c>
      <c r="O837" t="s">
        <v>358</v>
      </c>
      <c r="P837" t="s">
        <v>359</v>
      </c>
      <c r="Q837">
        <v>497.48</v>
      </c>
      <c r="R837">
        <v>2</v>
      </c>
      <c r="S837">
        <v>106.91</v>
      </c>
    </row>
    <row r="838" spans="1:19" x14ac:dyDescent="0.25">
      <c r="A838">
        <v>837</v>
      </c>
      <c r="B838" s="2">
        <v>44049</v>
      </c>
      <c r="C838">
        <v>2020</v>
      </c>
      <c r="D838" t="s">
        <v>27</v>
      </c>
      <c r="E838" s="2">
        <v>44050</v>
      </c>
      <c r="F838">
        <v>1</v>
      </c>
      <c r="G838" t="s">
        <v>33</v>
      </c>
      <c r="H838" t="s">
        <v>197</v>
      </c>
      <c r="I838" t="s">
        <v>324</v>
      </c>
      <c r="J838" t="s">
        <v>328</v>
      </c>
      <c r="K838" t="s">
        <v>332</v>
      </c>
      <c r="L838" t="s">
        <v>341</v>
      </c>
      <c r="M838" t="s">
        <v>348</v>
      </c>
      <c r="N838" t="s">
        <v>352</v>
      </c>
      <c r="O838" t="s">
        <v>357</v>
      </c>
      <c r="P838" t="s">
        <v>362</v>
      </c>
      <c r="Q838">
        <v>60.47</v>
      </c>
      <c r="R838">
        <v>3</v>
      </c>
      <c r="S838">
        <v>18.77</v>
      </c>
    </row>
    <row r="839" spans="1:19" x14ac:dyDescent="0.25">
      <c r="A839">
        <v>838</v>
      </c>
      <c r="B839" s="2">
        <v>44589</v>
      </c>
      <c r="C839">
        <v>2022</v>
      </c>
      <c r="D839" t="s">
        <v>23</v>
      </c>
      <c r="E839" s="2">
        <v>44598</v>
      </c>
      <c r="F839">
        <v>9</v>
      </c>
      <c r="G839" t="s">
        <v>32</v>
      </c>
      <c r="H839" t="s">
        <v>226</v>
      </c>
      <c r="I839" t="s">
        <v>323</v>
      </c>
      <c r="J839" t="s">
        <v>327</v>
      </c>
      <c r="K839" t="s">
        <v>337</v>
      </c>
      <c r="L839" t="s">
        <v>344</v>
      </c>
      <c r="M839" t="s">
        <v>347</v>
      </c>
      <c r="N839" t="s">
        <v>350</v>
      </c>
      <c r="O839" t="s">
        <v>353</v>
      </c>
      <c r="P839" t="s">
        <v>360</v>
      </c>
      <c r="Q839">
        <v>344.23</v>
      </c>
      <c r="R839">
        <v>5</v>
      </c>
      <c r="S839">
        <v>-36.61</v>
      </c>
    </row>
    <row r="840" spans="1:19" x14ac:dyDescent="0.25">
      <c r="A840">
        <v>839</v>
      </c>
      <c r="B840" s="2">
        <v>43865</v>
      </c>
      <c r="C840">
        <v>2020</v>
      </c>
      <c r="D840" t="s">
        <v>28</v>
      </c>
      <c r="E840" s="2">
        <v>43874</v>
      </c>
      <c r="F840">
        <v>9</v>
      </c>
      <c r="G840" t="s">
        <v>32</v>
      </c>
      <c r="H840" t="s">
        <v>202</v>
      </c>
      <c r="I840" t="s">
        <v>323</v>
      </c>
      <c r="J840" t="s">
        <v>327</v>
      </c>
      <c r="K840" t="s">
        <v>334</v>
      </c>
      <c r="L840" t="s">
        <v>334</v>
      </c>
      <c r="M840" t="s">
        <v>349</v>
      </c>
      <c r="N840" t="s">
        <v>352</v>
      </c>
      <c r="O840" t="s">
        <v>357</v>
      </c>
      <c r="P840" t="s">
        <v>361</v>
      </c>
      <c r="Q840">
        <v>278.43</v>
      </c>
      <c r="R840">
        <v>9</v>
      </c>
      <c r="S840">
        <v>-81.72</v>
      </c>
    </row>
    <row r="841" spans="1:19" x14ac:dyDescent="0.25">
      <c r="A841">
        <v>840</v>
      </c>
      <c r="B841" s="2">
        <v>44882</v>
      </c>
      <c r="C841">
        <v>2022</v>
      </c>
      <c r="D841" t="s">
        <v>30</v>
      </c>
      <c r="E841" s="2">
        <v>44890</v>
      </c>
      <c r="F841">
        <v>8</v>
      </c>
      <c r="G841" t="s">
        <v>33</v>
      </c>
      <c r="H841" t="s">
        <v>315</v>
      </c>
      <c r="I841" t="s">
        <v>324</v>
      </c>
      <c r="J841" t="s">
        <v>326</v>
      </c>
      <c r="K841" t="s">
        <v>331</v>
      </c>
      <c r="L841" t="s">
        <v>340</v>
      </c>
      <c r="M841" t="s">
        <v>347</v>
      </c>
      <c r="N841" t="s">
        <v>352</v>
      </c>
      <c r="O841" t="s">
        <v>357</v>
      </c>
      <c r="P841" t="s">
        <v>362</v>
      </c>
      <c r="Q841">
        <v>279.27</v>
      </c>
      <c r="R841">
        <v>2</v>
      </c>
      <c r="S841">
        <v>-71.36</v>
      </c>
    </row>
    <row r="842" spans="1:19" x14ac:dyDescent="0.25">
      <c r="A842">
        <v>841</v>
      </c>
      <c r="B842" s="2">
        <v>45017</v>
      </c>
      <c r="C842">
        <v>2023</v>
      </c>
      <c r="D842" t="s">
        <v>26</v>
      </c>
      <c r="E842" s="2">
        <v>45020</v>
      </c>
      <c r="F842">
        <v>3</v>
      </c>
      <c r="G842" t="s">
        <v>32</v>
      </c>
      <c r="H842" t="s">
        <v>90</v>
      </c>
      <c r="I842" t="s">
        <v>323</v>
      </c>
      <c r="J842" t="s">
        <v>328</v>
      </c>
      <c r="K842" t="s">
        <v>335</v>
      </c>
      <c r="L842" t="s">
        <v>335</v>
      </c>
      <c r="M842" t="s">
        <v>345</v>
      </c>
      <c r="N842" t="s">
        <v>350</v>
      </c>
      <c r="O842" t="s">
        <v>354</v>
      </c>
      <c r="P842" t="s">
        <v>361</v>
      </c>
      <c r="Q842">
        <v>136.16</v>
      </c>
      <c r="R842">
        <v>1</v>
      </c>
      <c r="S842">
        <v>42.2</v>
      </c>
    </row>
    <row r="843" spans="1:19" x14ac:dyDescent="0.25">
      <c r="A843">
        <v>842</v>
      </c>
      <c r="B843" s="2">
        <v>44430</v>
      </c>
      <c r="C843">
        <v>2021</v>
      </c>
      <c r="D843" t="s">
        <v>27</v>
      </c>
      <c r="E843" s="2">
        <v>44431</v>
      </c>
      <c r="F843">
        <v>1</v>
      </c>
      <c r="G843" t="s">
        <v>31</v>
      </c>
      <c r="H843" t="s">
        <v>119</v>
      </c>
      <c r="I843" t="s">
        <v>324</v>
      </c>
      <c r="J843" t="s">
        <v>326</v>
      </c>
      <c r="K843" t="s">
        <v>333</v>
      </c>
      <c r="L843" t="s">
        <v>342</v>
      </c>
      <c r="M843" t="s">
        <v>345</v>
      </c>
      <c r="N843" t="s">
        <v>351</v>
      </c>
      <c r="O843" t="s">
        <v>356</v>
      </c>
      <c r="P843" t="s">
        <v>360</v>
      </c>
      <c r="Q843">
        <v>52.04</v>
      </c>
      <c r="R843">
        <v>2</v>
      </c>
      <c r="S843">
        <v>-13.81</v>
      </c>
    </row>
    <row r="844" spans="1:19" x14ac:dyDescent="0.25">
      <c r="A844">
        <v>843</v>
      </c>
      <c r="B844" s="2">
        <v>44791</v>
      </c>
      <c r="C844">
        <v>2022</v>
      </c>
      <c r="D844" t="s">
        <v>27</v>
      </c>
      <c r="E844" s="2">
        <v>44800</v>
      </c>
      <c r="F844">
        <v>9</v>
      </c>
      <c r="G844" t="s">
        <v>32</v>
      </c>
      <c r="H844" t="s">
        <v>259</v>
      </c>
      <c r="I844" t="s">
        <v>324</v>
      </c>
      <c r="J844" t="s">
        <v>327</v>
      </c>
      <c r="K844" t="s">
        <v>337</v>
      </c>
      <c r="L844" t="s">
        <v>344</v>
      </c>
      <c r="M844" t="s">
        <v>347</v>
      </c>
      <c r="N844" t="s">
        <v>351</v>
      </c>
      <c r="O844" t="s">
        <v>355</v>
      </c>
      <c r="P844" t="s">
        <v>360</v>
      </c>
      <c r="Q844">
        <v>496.98</v>
      </c>
      <c r="R844">
        <v>8</v>
      </c>
      <c r="S844">
        <v>146.74</v>
      </c>
    </row>
    <row r="845" spans="1:19" x14ac:dyDescent="0.25">
      <c r="A845">
        <v>844</v>
      </c>
      <c r="B845" s="2">
        <v>45152</v>
      </c>
      <c r="C845">
        <v>2023</v>
      </c>
      <c r="D845" t="s">
        <v>27</v>
      </c>
      <c r="E845" s="2">
        <v>45154</v>
      </c>
      <c r="F845">
        <v>2</v>
      </c>
      <c r="G845" t="s">
        <v>32</v>
      </c>
      <c r="H845" t="s">
        <v>139</v>
      </c>
      <c r="I845" t="s">
        <v>325</v>
      </c>
      <c r="J845" t="s">
        <v>327</v>
      </c>
      <c r="K845" t="s">
        <v>337</v>
      </c>
      <c r="L845" t="s">
        <v>344</v>
      </c>
      <c r="M845" t="s">
        <v>347</v>
      </c>
      <c r="N845" t="s">
        <v>350</v>
      </c>
      <c r="O845" t="s">
        <v>354</v>
      </c>
      <c r="P845" t="s">
        <v>361</v>
      </c>
      <c r="Q845">
        <v>157.02000000000001</v>
      </c>
      <c r="R845">
        <v>1</v>
      </c>
      <c r="S845">
        <v>-20.38</v>
      </c>
    </row>
    <row r="846" spans="1:19" x14ac:dyDescent="0.25">
      <c r="A846">
        <v>845</v>
      </c>
      <c r="B846" s="2">
        <v>44980</v>
      </c>
      <c r="C846">
        <v>2023</v>
      </c>
      <c r="D846" t="s">
        <v>28</v>
      </c>
      <c r="E846" s="2">
        <v>44986</v>
      </c>
      <c r="F846">
        <v>6</v>
      </c>
      <c r="G846" t="s">
        <v>31</v>
      </c>
      <c r="H846" t="s">
        <v>207</v>
      </c>
      <c r="I846" t="s">
        <v>324</v>
      </c>
      <c r="J846" t="s">
        <v>327</v>
      </c>
      <c r="K846" t="s">
        <v>337</v>
      </c>
      <c r="L846" t="s">
        <v>344</v>
      </c>
      <c r="M846" t="s">
        <v>347</v>
      </c>
      <c r="N846" t="s">
        <v>351</v>
      </c>
      <c r="O846" t="s">
        <v>356</v>
      </c>
      <c r="P846" t="s">
        <v>361</v>
      </c>
      <c r="Q846">
        <v>358.43</v>
      </c>
      <c r="R846">
        <v>5</v>
      </c>
      <c r="S846">
        <v>75.86</v>
      </c>
    </row>
    <row r="847" spans="1:19" x14ac:dyDescent="0.25">
      <c r="A847">
        <v>846</v>
      </c>
      <c r="B847" s="2">
        <v>44123</v>
      </c>
      <c r="C847">
        <v>2020</v>
      </c>
      <c r="D847" t="s">
        <v>22</v>
      </c>
      <c r="E847" s="2">
        <v>44133</v>
      </c>
      <c r="F847">
        <v>10</v>
      </c>
      <c r="G847" t="s">
        <v>33</v>
      </c>
      <c r="H847" t="s">
        <v>270</v>
      </c>
      <c r="I847" t="s">
        <v>323</v>
      </c>
      <c r="J847" t="s">
        <v>327</v>
      </c>
      <c r="K847" t="s">
        <v>330</v>
      </c>
      <c r="L847" t="s">
        <v>339</v>
      </c>
      <c r="M847" t="s">
        <v>346</v>
      </c>
      <c r="N847" t="s">
        <v>352</v>
      </c>
      <c r="O847" t="s">
        <v>358</v>
      </c>
      <c r="P847" t="s">
        <v>360</v>
      </c>
      <c r="Q847">
        <v>124.11</v>
      </c>
      <c r="R847">
        <v>9</v>
      </c>
      <c r="S847">
        <v>56.99</v>
      </c>
    </row>
    <row r="848" spans="1:19" x14ac:dyDescent="0.25">
      <c r="A848">
        <v>847</v>
      </c>
      <c r="B848" s="2">
        <v>44101</v>
      </c>
      <c r="C848">
        <v>2020</v>
      </c>
      <c r="D848" t="s">
        <v>25</v>
      </c>
      <c r="E848" s="2">
        <v>44107</v>
      </c>
      <c r="F848">
        <v>6</v>
      </c>
      <c r="G848" t="s">
        <v>31</v>
      </c>
      <c r="H848" t="s">
        <v>146</v>
      </c>
      <c r="I848" t="s">
        <v>324</v>
      </c>
      <c r="J848" t="s">
        <v>327</v>
      </c>
      <c r="K848" t="s">
        <v>337</v>
      </c>
      <c r="L848" t="s">
        <v>344</v>
      </c>
      <c r="M848" t="s">
        <v>347</v>
      </c>
      <c r="N848" t="s">
        <v>352</v>
      </c>
      <c r="O848" t="s">
        <v>358</v>
      </c>
      <c r="P848" t="s">
        <v>361</v>
      </c>
      <c r="Q848">
        <v>24.38</v>
      </c>
      <c r="R848">
        <v>1</v>
      </c>
      <c r="S848">
        <v>6.28</v>
      </c>
    </row>
    <row r="849" spans="1:19" x14ac:dyDescent="0.25">
      <c r="A849">
        <v>848</v>
      </c>
      <c r="B849" s="2">
        <v>45516</v>
      </c>
      <c r="C849">
        <v>2024</v>
      </c>
      <c r="D849" t="s">
        <v>27</v>
      </c>
      <c r="E849" s="2">
        <v>45524</v>
      </c>
      <c r="F849">
        <v>8</v>
      </c>
      <c r="G849" t="s">
        <v>34</v>
      </c>
      <c r="H849" t="s">
        <v>111</v>
      </c>
      <c r="I849" t="s">
        <v>325</v>
      </c>
      <c r="J849" t="s">
        <v>328</v>
      </c>
      <c r="K849" t="s">
        <v>335</v>
      </c>
      <c r="L849" t="s">
        <v>335</v>
      </c>
      <c r="M849" t="s">
        <v>345</v>
      </c>
      <c r="N849" t="s">
        <v>351</v>
      </c>
      <c r="O849" t="s">
        <v>356</v>
      </c>
      <c r="P849" t="s">
        <v>360</v>
      </c>
      <c r="Q849">
        <v>32.619999999999997</v>
      </c>
      <c r="R849">
        <v>5</v>
      </c>
      <c r="S849">
        <v>9.9600000000000009</v>
      </c>
    </row>
    <row r="850" spans="1:19" x14ac:dyDescent="0.25">
      <c r="A850">
        <v>849</v>
      </c>
      <c r="B850" s="2">
        <v>44078</v>
      </c>
      <c r="C850">
        <v>2020</v>
      </c>
      <c r="D850" t="s">
        <v>25</v>
      </c>
      <c r="E850" s="2">
        <v>44087</v>
      </c>
      <c r="F850">
        <v>9</v>
      </c>
      <c r="G850" t="s">
        <v>33</v>
      </c>
      <c r="H850" t="s">
        <v>74</v>
      </c>
      <c r="I850" t="s">
        <v>323</v>
      </c>
      <c r="J850" t="s">
        <v>326</v>
      </c>
      <c r="K850" t="s">
        <v>331</v>
      </c>
      <c r="L850" t="s">
        <v>340</v>
      </c>
      <c r="M850" t="s">
        <v>347</v>
      </c>
      <c r="N850" t="s">
        <v>351</v>
      </c>
      <c r="O850" t="s">
        <v>355</v>
      </c>
      <c r="P850" t="s">
        <v>360</v>
      </c>
      <c r="Q850">
        <v>89.01</v>
      </c>
      <c r="R850">
        <v>8</v>
      </c>
      <c r="S850">
        <v>35.659999999999997</v>
      </c>
    </row>
    <row r="851" spans="1:19" x14ac:dyDescent="0.25">
      <c r="A851">
        <v>850</v>
      </c>
      <c r="B851" s="2">
        <v>45273</v>
      </c>
      <c r="C851">
        <v>2023</v>
      </c>
      <c r="D851" t="s">
        <v>29</v>
      </c>
      <c r="E851" s="2">
        <v>45274</v>
      </c>
      <c r="F851">
        <v>1</v>
      </c>
      <c r="G851" t="s">
        <v>32</v>
      </c>
      <c r="H851" t="s">
        <v>261</v>
      </c>
      <c r="I851" t="s">
        <v>325</v>
      </c>
      <c r="J851" t="s">
        <v>327</v>
      </c>
      <c r="K851" t="s">
        <v>330</v>
      </c>
      <c r="L851" t="s">
        <v>339</v>
      </c>
      <c r="M851" t="s">
        <v>346</v>
      </c>
      <c r="N851" t="s">
        <v>351</v>
      </c>
      <c r="O851" t="s">
        <v>356</v>
      </c>
      <c r="P851" t="s">
        <v>360</v>
      </c>
      <c r="Q851">
        <v>31.13</v>
      </c>
      <c r="R851">
        <v>5</v>
      </c>
      <c r="S851">
        <v>8.08</v>
      </c>
    </row>
    <row r="852" spans="1:19" x14ac:dyDescent="0.25">
      <c r="A852">
        <v>851</v>
      </c>
      <c r="B852" s="2">
        <v>44834</v>
      </c>
      <c r="C852">
        <v>2022</v>
      </c>
      <c r="D852" t="s">
        <v>25</v>
      </c>
      <c r="E852" s="2">
        <v>44843</v>
      </c>
      <c r="F852">
        <v>9</v>
      </c>
      <c r="G852" t="s">
        <v>31</v>
      </c>
      <c r="H852" t="s">
        <v>316</v>
      </c>
      <c r="I852" t="s">
        <v>325</v>
      </c>
      <c r="J852" t="s">
        <v>328</v>
      </c>
      <c r="K852" t="s">
        <v>336</v>
      </c>
      <c r="L852" t="s">
        <v>343</v>
      </c>
      <c r="M852" t="s">
        <v>347</v>
      </c>
      <c r="N852" t="s">
        <v>350</v>
      </c>
      <c r="O852" t="s">
        <v>354</v>
      </c>
      <c r="P852" t="s">
        <v>361</v>
      </c>
      <c r="Q852">
        <v>68.489999999999995</v>
      </c>
      <c r="R852">
        <v>6</v>
      </c>
      <c r="S852">
        <v>-0.55000000000000004</v>
      </c>
    </row>
    <row r="853" spans="1:19" x14ac:dyDescent="0.25">
      <c r="A853">
        <v>852</v>
      </c>
      <c r="B853" s="2">
        <v>45584</v>
      </c>
      <c r="C853">
        <v>2024</v>
      </c>
      <c r="D853" t="s">
        <v>22</v>
      </c>
      <c r="E853" s="2">
        <v>45591</v>
      </c>
      <c r="F853">
        <v>7</v>
      </c>
      <c r="G853" t="s">
        <v>31</v>
      </c>
      <c r="H853" t="s">
        <v>38</v>
      </c>
      <c r="I853" t="s">
        <v>324</v>
      </c>
      <c r="J853" t="s">
        <v>326</v>
      </c>
      <c r="K853" t="s">
        <v>333</v>
      </c>
      <c r="L853" t="s">
        <v>342</v>
      </c>
      <c r="M853" t="s">
        <v>345</v>
      </c>
      <c r="N853" t="s">
        <v>350</v>
      </c>
      <c r="O853" t="s">
        <v>353</v>
      </c>
      <c r="P853" t="s">
        <v>360</v>
      </c>
      <c r="Q853">
        <v>488.83</v>
      </c>
      <c r="R853">
        <v>9</v>
      </c>
      <c r="S853">
        <v>6.81</v>
      </c>
    </row>
    <row r="854" spans="1:19" x14ac:dyDescent="0.25">
      <c r="A854">
        <v>853</v>
      </c>
      <c r="B854" s="2">
        <v>44608</v>
      </c>
      <c r="C854">
        <v>2022</v>
      </c>
      <c r="D854" t="s">
        <v>28</v>
      </c>
      <c r="E854" s="2">
        <v>44609</v>
      </c>
      <c r="F854">
        <v>1</v>
      </c>
      <c r="G854" t="s">
        <v>34</v>
      </c>
      <c r="H854" t="s">
        <v>99</v>
      </c>
      <c r="I854" t="s">
        <v>325</v>
      </c>
      <c r="J854" t="s">
        <v>327</v>
      </c>
      <c r="K854" t="s">
        <v>334</v>
      </c>
      <c r="L854" t="s">
        <v>334</v>
      </c>
      <c r="M854" t="s">
        <v>349</v>
      </c>
      <c r="N854" t="s">
        <v>352</v>
      </c>
      <c r="O854" t="s">
        <v>357</v>
      </c>
      <c r="P854" t="s">
        <v>362</v>
      </c>
      <c r="Q854">
        <v>29.85</v>
      </c>
      <c r="R854">
        <v>7</v>
      </c>
      <c r="S854">
        <v>10.82</v>
      </c>
    </row>
    <row r="855" spans="1:19" x14ac:dyDescent="0.25">
      <c r="A855">
        <v>854</v>
      </c>
      <c r="B855" s="2">
        <v>44089</v>
      </c>
      <c r="C855">
        <v>2020</v>
      </c>
      <c r="D855" t="s">
        <v>25</v>
      </c>
      <c r="E855" s="2">
        <v>44097</v>
      </c>
      <c r="F855">
        <v>8</v>
      </c>
      <c r="G855" t="s">
        <v>33</v>
      </c>
      <c r="H855" t="s">
        <v>246</v>
      </c>
      <c r="I855" t="s">
        <v>325</v>
      </c>
      <c r="J855" t="s">
        <v>327</v>
      </c>
      <c r="K855" t="s">
        <v>337</v>
      </c>
      <c r="L855" t="s">
        <v>344</v>
      </c>
      <c r="M855" t="s">
        <v>347</v>
      </c>
      <c r="N855" t="s">
        <v>350</v>
      </c>
      <c r="O855" t="s">
        <v>354</v>
      </c>
      <c r="P855" t="s">
        <v>362</v>
      </c>
      <c r="Q855">
        <v>495.52</v>
      </c>
      <c r="R855">
        <v>1</v>
      </c>
      <c r="S855">
        <v>106.59</v>
      </c>
    </row>
    <row r="856" spans="1:19" x14ac:dyDescent="0.25">
      <c r="A856">
        <v>855</v>
      </c>
      <c r="B856" s="2">
        <v>44818</v>
      </c>
      <c r="C856">
        <v>2022</v>
      </c>
      <c r="D856" t="s">
        <v>25</v>
      </c>
      <c r="E856" s="2">
        <v>44820</v>
      </c>
      <c r="F856">
        <v>2</v>
      </c>
      <c r="G856" t="s">
        <v>33</v>
      </c>
      <c r="H856" t="s">
        <v>111</v>
      </c>
      <c r="I856" t="s">
        <v>324</v>
      </c>
      <c r="J856" t="s">
        <v>326</v>
      </c>
      <c r="K856" t="s">
        <v>329</v>
      </c>
      <c r="L856" t="s">
        <v>338</v>
      </c>
      <c r="M856" t="s">
        <v>345</v>
      </c>
      <c r="N856" t="s">
        <v>351</v>
      </c>
      <c r="O856" t="s">
        <v>356</v>
      </c>
      <c r="P856" t="s">
        <v>361</v>
      </c>
      <c r="Q856">
        <v>236.7</v>
      </c>
      <c r="R856">
        <v>2</v>
      </c>
      <c r="S856">
        <v>-46.83</v>
      </c>
    </row>
    <row r="857" spans="1:19" x14ac:dyDescent="0.25">
      <c r="A857">
        <v>856</v>
      </c>
      <c r="B857" s="2">
        <v>45318</v>
      </c>
      <c r="C857">
        <v>2024</v>
      </c>
      <c r="D857" t="s">
        <v>23</v>
      </c>
      <c r="E857" s="2">
        <v>45326</v>
      </c>
      <c r="F857">
        <v>8</v>
      </c>
      <c r="G857" t="s">
        <v>33</v>
      </c>
      <c r="H857" t="s">
        <v>77</v>
      </c>
      <c r="I857" t="s">
        <v>325</v>
      </c>
      <c r="J857" t="s">
        <v>326</v>
      </c>
      <c r="K857" t="s">
        <v>331</v>
      </c>
      <c r="L857" t="s">
        <v>340</v>
      </c>
      <c r="M857" t="s">
        <v>347</v>
      </c>
      <c r="N857" t="s">
        <v>352</v>
      </c>
      <c r="O857" t="s">
        <v>357</v>
      </c>
      <c r="P857" t="s">
        <v>362</v>
      </c>
      <c r="Q857">
        <v>141.01</v>
      </c>
      <c r="R857">
        <v>1</v>
      </c>
      <c r="S857">
        <v>67.72</v>
      </c>
    </row>
    <row r="858" spans="1:19" x14ac:dyDescent="0.25">
      <c r="A858">
        <v>857</v>
      </c>
      <c r="B858" s="2">
        <v>45803</v>
      </c>
      <c r="C858">
        <v>2025</v>
      </c>
      <c r="D858" t="s">
        <v>19</v>
      </c>
      <c r="E858" s="2">
        <v>45810</v>
      </c>
      <c r="F858">
        <v>7</v>
      </c>
      <c r="G858" t="s">
        <v>32</v>
      </c>
      <c r="H858" t="s">
        <v>95</v>
      </c>
      <c r="I858" t="s">
        <v>325</v>
      </c>
      <c r="J858" t="s">
        <v>326</v>
      </c>
      <c r="K858" t="s">
        <v>331</v>
      </c>
      <c r="L858" t="s">
        <v>340</v>
      </c>
      <c r="M858" t="s">
        <v>347</v>
      </c>
      <c r="N858" t="s">
        <v>351</v>
      </c>
      <c r="O858" t="s">
        <v>355</v>
      </c>
      <c r="P858" t="s">
        <v>362</v>
      </c>
      <c r="Q858">
        <v>279.23</v>
      </c>
      <c r="R858">
        <v>10</v>
      </c>
      <c r="S858">
        <v>-42.48</v>
      </c>
    </row>
    <row r="859" spans="1:19" x14ac:dyDescent="0.25">
      <c r="A859">
        <v>858</v>
      </c>
      <c r="B859" s="2">
        <v>44545</v>
      </c>
      <c r="C859">
        <v>2021</v>
      </c>
      <c r="D859" t="s">
        <v>29</v>
      </c>
      <c r="E859" s="2">
        <v>44549</v>
      </c>
      <c r="F859">
        <v>4</v>
      </c>
      <c r="G859" t="s">
        <v>31</v>
      </c>
      <c r="H859" t="s">
        <v>108</v>
      </c>
      <c r="I859" t="s">
        <v>324</v>
      </c>
      <c r="J859" t="s">
        <v>327</v>
      </c>
      <c r="K859" t="s">
        <v>334</v>
      </c>
      <c r="L859" t="s">
        <v>334</v>
      </c>
      <c r="M859" t="s">
        <v>349</v>
      </c>
      <c r="N859" t="s">
        <v>351</v>
      </c>
      <c r="O859" t="s">
        <v>355</v>
      </c>
      <c r="P859" t="s">
        <v>362</v>
      </c>
      <c r="Q859">
        <v>43.12</v>
      </c>
      <c r="R859">
        <v>6</v>
      </c>
      <c r="S859">
        <v>-4.78</v>
      </c>
    </row>
    <row r="860" spans="1:19" x14ac:dyDescent="0.25">
      <c r="A860">
        <v>859</v>
      </c>
      <c r="B860" s="2">
        <v>46006</v>
      </c>
      <c r="C860">
        <v>2025</v>
      </c>
      <c r="D860" t="s">
        <v>29</v>
      </c>
      <c r="E860" s="2">
        <v>46013</v>
      </c>
      <c r="F860">
        <v>7</v>
      </c>
      <c r="G860" t="s">
        <v>31</v>
      </c>
      <c r="H860" t="s">
        <v>155</v>
      </c>
      <c r="I860" t="s">
        <v>325</v>
      </c>
      <c r="J860" t="s">
        <v>328</v>
      </c>
      <c r="K860" t="s">
        <v>335</v>
      </c>
      <c r="L860" t="s">
        <v>335</v>
      </c>
      <c r="M860" t="s">
        <v>345</v>
      </c>
      <c r="N860" t="s">
        <v>351</v>
      </c>
      <c r="O860" t="s">
        <v>355</v>
      </c>
      <c r="P860" t="s">
        <v>359</v>
      </c>
      <c r="Q860">
        <v>86.38</v>
      </c>
      <c r="R860">
        <v>6</v>
      </c>
      <c r="S860">
        <v>5.45</v>
      </c>
    </row>
    <row r="861" spans="1:19" x14ac:dyDescent="0.25">
      <c r="A861">
        <v>860</v>
      </c>
      <c r="B861" s="2">
        <v>45832</v>
      </c>
      <c r="C861">
        <v>2025</v>
      </c>
      <c r="D861" t="s">
        <v>21</v>
      </c>
      <c r="E861" s="2">
        <v>45839</v>
      </c>
      <c r="F861">
        <v>7</v>
      </c>
      <c r="G861" t="s">
        <v>31</v>
      </c>
      <c r="H861" t="s">
        <v>317</v>
      </c>
      <c r="I861" t="s">
        <v>325</v>
      </c>
      <c r="J861" t="s">
        <v>328</v>
      </c>
      <c r="K861" t="s">
        <v>332</v>
      </c>
      <c r="L861" t="s">
        <v>341</v>
      </c>
      <c r="M861" t="s">
        <v>348</v>
      </c>
      <c r="N861" t="s">
        <v>350</v>
      </c>
      <c r="O861" t="s">
        <v>353</v>
      </c>
      <c r="P861" t="s">
        <v>360</v>
      </c>
      <c r="Q861">
        <v>454.98</v>
      </c>
      <c r="R861">
        <v>2</v>
      </c>
      <c r="S861">
        <v>36.68</v>
      </c>
    </row>
    <row r="862" spans="1:19" x14ac:dyDescent="0.25">
      <c r="A862">
        <v>861</v>
      </c>
      <c r="B862" s="2">
        <v>44727</v>
      </c>
      <c r="C862">
        <v>2022</v>
      </c>
      <c r="D862" t="s">
        <v>21</v>
      </c>
      <c r="E862" s="2">
        <v>44728</v>
      </c>
      <c r="F862">
        <v>1</v>
      </c>
      <c r="G862" t="s">
        <v>33</v>
      </c>
      <c r="H862" t="s">
        <v>208</v>
      </c>
      <c r="I862" t="s">
        <v>324</v>
      </c>
      <c r="J862" t="s">
        <v>326</v>
      </c>
      <c r="K862" t="s">
        <v>329</v>
      </c>
      <c r="L862" t="s">
        <v>338</v>
      </c>
      <c r="M862" t="s">
        <v>345</v>
      </c>
      <c r="N862" t="s">
        <v>351</v>
      </c>
      <c r="O862" t="s">
        <v>356</v>
      </c>
      <c r="P862" t="s">
        <v>360</v>
      </c>
      <c r="Q862">
        <v>354.66</v>
      </c>
      <c r="R862">
        <v>1</v>
      </c>
      <c r="S862">
        <v>-69.3</v>
      </c>
    </row>
    <row r="863" spans="1:19" x14ac:dyDescent="0.25">
      <c r="A863">
        <v>862</v>
      </c>
      <c r="B863" s="2">
        <v>44465</v>
      </c>
      <c r="C863">
        <v>2021</v>
      </c>
      <c r="D863" t="s">
        <v>25</v>
      </c>
      <c r="E863" s="2">
        <v>44469</v>
      </c>
      <c r="F863">
        <v>4</v>
      </c>
      <c r="G863" t="s">
        <v>32</v>
      </c>
      <c r="H863" t="s">
        <v>318</v>
      </c>
      <c r="I863" t="s">
        <v>325</v>
      </c>
      <c r="J863" t="s">
        <v>327</v>
      </c>
      <c r="K863" t="s">
        <v>334</v>
      </c>
      <c r="L863" t="s">
        <v>334</v>
      </c>
      <c r="M863" t="s">
        <v>349</v>
      </c>
      <c r="N863" t="s">
        <v>350</v>
      </c>
      <c r="O863" t="s">
        <v>354</v>
      </c>
      <c r="P863" t="s">
        <v>359</v>
      </c>
      <c r="Q863">
        <v>321.77999999999997</v>
      </c>
      <c r="R863">
        <v>6</v>
      </c>
      <c r="S863">
        <v>141.29</v>
      </c>
    </row>
    <row r="864" spans="1:19" x14ac:dyDescent="0.25">
      <c r="A864">
        <v>863</v>
      </c>
      <c r="B864" s="2">
        <v>44833</v>
      </c>
      <c r="C864">
        <v>2022</v>
      </c>
      <c r="D864" t="s">
        <v>25</v>
      </c>
      <c r="E864" s="2">
        <v>44841</v>
      </c>
      <c r="F864">
        <v>8</v>
      </c>
      <c r="G864" t="s">
        <v>32</v>
      </c>
      <c r="H864" t="s">
        <v>251</v>
      </c>
      <c r="I864" t="s">
        <v>324</v>
      </c>
      <c r="J864" t="s">
        <v>327</v>
      </c>
      <c r="K864" t="s">
        <v>330</v>
      </c>
      <c r="L864" t="s">
        <v>339</v>
      </c>
      <c r="M864" t="s">
        <v>346</v>
      </c>
      <c r="N864" t="s">
        <v>352</v>
      </c>
      <c r="O864" t="s">
        <v>357</v>
      </c>
      <c r="P864" t="s">
        <v>361</v>
      </c>
      <c r="Q864">
        <v>261.72000000000003</v>
      </c>
      <c r="R864">
        <v>4</v>
      </c>
      <c r="S864">
        <v>116.33</v>
      </c>
    </row>
    <row r="865" spans="1:19" x14ac:dyDescent="0.25">
      <c r="A865">
        <v>864</v>
      </c>
      <c r="B865" s="2">
        <v>44399</v>
      </c>
      <c r="C865">
        <v>2021</v>
      </c>
      <c r="D865" t="s">
        <v>20</v>
      </c>
      <c r="E865" s="2">
        <v>44405</v>
      </c>
      <c r="F865">
        <v>6</v>
      </c>
      <c r="G865" t="s">
        <v>33</v>
      </c>
      <c r="H865" t="s">
        <v>55</v>
      </c>
      <c r="I865" t="s">
        <v>324</v>
      </c>
      <c r="J865" t="s">
        <v>326</v>
      </c>
      <c r="K865" t="s">
        <v>331</v>
      </c>
      <c r="L865" t="s">
        <v>340</v>
      </c>
      <c r="M865" t="s">
        <v>347</v>
      </c>
      <c r="N865" t="s">
        <v>352</v>
      </c>
      <c r="O865" t="s">
        <v>358</v>
      </c>
      <c r="P865" t="s">
        <v>360</v>
      </c>
      <c r="Q865">
        <v>242.9</v>
      </c>
      <c r="R865">
        <v>10</v>
      </c>
      <c r="S865">
        <v>92.83</v>
      </c>
    </row>
    <row r="866" spans="1:19" x14ac:dyDescent="0.25">
      <c r="A866">
        <v>865</v>
      </c>
      <c r="B866" s="2">
        <v>44730</v>
      </c>
      <c r="C866">
        <v>2022</v>
      </c>
      <c r="D866" t="s">
        <v>21</v>
      </c>
      <c r="E866" s="2">
        <v>44732</v>
      </c>
      <c r="F866">
        <v>2</v>
      </c>
      <c r="G866" t="s">
        <v>31</v>
      </c>
      <c r="H866" t="s">
        <v>78</v>
      </c>
      <c r="I866" t="s">
        <v>323</v>
      </c>
      <c r="J866" t="s">
        <v>326</v>
      </c>
      <c r="K866" t="s">
        <v>333</v>
      </c>
      <c r="L866" t="s">
        <v>342</v>
      </c>
      <c r="M866" t="s">
        <v>345</v>
      </c>
      <c r="N866" t="s">
        <v>350</v>
      </c>
      <c r="O866" t="s">
        <v>353</v>
      </c>
      <c r="P866" t="s">
        <v>359</v>
      </c>
      <c r="Q866">
        <v>203.56</v>
      </c>
      <c r="R866">
        <v>10</v>
      </c>
      <c r="S866">
        <v>-48.31</v>
      </c>
    </row>
    <row r="867" spans="1:19" x14ac:dyDescent="0.25">
      <c r="A867">
        <v>866</v>
      </c>
      <c r="B867" s="2">
        <v>44219</v>
      </c>
      <c r="C867">
        <v>2021</v>
      </c>
      <c r="D867" t="s">
        <v>23</v>
      </c>
      <c r="E867" s="2">
        <v>44223</v>
      </c>
      <c r="F867">
        <v>4</v>
      </c>
      <c r="G867" t="s">
        <v>33</v>
      </c>
      <c r="H867" t="s">
        <v>127</v>
      </c>
      <c r="I867" t="s">
        <v>323</v>
      </c>
      <c r="J867" t="s">
        <v>327</v>
      </c>
      <c r="K867" t="s">
        <v>330</v>
      </c>
      <c r="L867" t="s">
        <v>339</v>
      </c>
      <c r="M867" t="s">
        <v>346</v>
      </c>
      <c r="N867" t="s">
        <v>352</v>
      </c>
      <c r="O867" t="s">
        <v>358</v>
      </c>
      <c r="P867" t="s">
        <v>361</v>
      </c>
      <c r="Q867">
        <v>47.11</v>
      </c>
      <c r="R867">
        <v>10</v>
      </c>
      <c r="S867">
        <v>21.1</v>
      </c>
    </row>
    <row r="868" spans="1:19" x14ac:dyDescent="0.25">
      <c r="A868">
        <v>867</v>
      </c>
      <c r="B868" s="2">
        <v>44450</v>
      </c>
      <c r="C868">
        <v>2021</v>
      </c>
      <c r="D868" t="s">
        <v>25</v>
      </c>
      <c r="E868" s="2">
        <v>44460</v>
      </c>
      <c r="F868">
        <v>10</v>
      </c>
      <c r="G868" t="s">
        <v>33</v>
      </c>
      <c r="H868" t="s">
        <v>78</v>
      </c>
      <c r="I868" t="s">
        <v>323</v>
      </c>
      <c r="J868" t="s">
        <v>328</v>
      </c>
      <c r="K868" t="s">
        <v>336</v>
      </c>
      <c r="L868" t="s">
        <v>343</v>
      </c>
      <c r="M868" t="s">
        <v>347</v>
      </c>
      <c r="N868" t="s">
        <v>351</v>
      </c>
      <c r="O868" t="s">
        <v>355</v>
      </c>
      <c r="P868" t="s">
        <v>359</v>
      </c>
      <c r="Q868">
        <v>131.71</v>
      </c>
      <c r="R868">
        <v>8</v>
      </c>
      <c r="S868">
        <v>3.18</v>
      </c>
    </row>
    <row r="869" spans="1:19" x14ac:dyDescent="0.25">
      <c r="A869">
        <v>868</v>
      </c>
      <c r="B869" s="2">
        <v>43991</v>
      </c>
      <c r="C869">
        <v>2020</v>
      </c>
      <c r="D869" t="s">
        <v>21</v>
      </c>
      <c r="E869" s="2">
        <v>43994</v>
      </c>
      <c r="F869">
        <v>3</v>
      </c>
      <c r="G869" t="s">
        <v>31</v>
      </c>
      <c r="H869" t="s">
        <v>208</v>
      </c>
      <c r="I869" t="s">
        <v>323</v>
      </c>
      <c r="J869" t="s">
        <v>328</v>
      </c>
      <c r="K869" t="s">
        <v>336</v>
      </c>
      <c r="L869" t="s">
        <v>343</v>
      </c>
      <c r="M869" t="s">
        <v>347</v>
      </c>
      <c r="N869" t="s">
        <v>350</v>
      </c>
      <c r="O869" t="s">
        <v>353</v>
      </c>
      <c r="P869" t="s">
        <v>361</v>
      </c>
      <c r="Q869">
        <v>249.31</v>
      </c>
      <c r="R869">
        <v>10</v>
      </c>
      <c r="S869">
        <v>122.72</v>
      </c>
    </row>
    <row r="870" spans="1:19" x14ac:dyDescent="0.25">
      <c r="A870">
        <v>869</v>
      </c>
      <c r="B870" s="2">
        <v>44974</v>
      </c>
      <c r="C870">
        <v>2023</v>
      </c>
      <c r="D870" t="s">
        <v>28</v>
      </c>
      <c r="E870" s="2">
        <v>44984</v>
      </c>
      <c r="F870">
        <v>10</v>
      </c>
      <c r="G870" t="s">
        <v>31</v>
      </c>
      <c r="H870" t="s">
        <v>295</v>
      </c>
      <c r="I870" t="s">
        <v>324</v>
      </c>
      <c r="J870" t="s">
        <v>328</v>
      </c>
      <c r="K870" t="s">
        <v>332</v>
      </c>
      <c r="L870" t="s">
        <v>341</v>
      </c>
      <c r="M870" t="s">
        <v>348</v>
      </c>
      <c r="N870" t="s">
        <v>352</v>
      </c>
      <c r="O870" t="s">
        <v>358</v>
      </c>
      <c r="P870" t="s">
        <v>360</v>
      </c>
      <c r="Q870">
        <v>99.62</v>
      </c>
      <c r="R870">
        <v>10</v>
      </c>
      <c r="S870">
        <v>29.28</v>
      </c>
    </row>
    <row r="871" spans="1:19" x14ac:dyDescent="0.25">
      <c r="A871">
        <v>870</v>
      </c>
      <c r="B871" s="2">
        <v>45004</v>
      </c>
      <c r="C871">
        <v>2023</v>
      </c>
      <c r="D871" t="s">
        <v>24</v>
      </c>
      <c r="E871" s="2">
        <v>45006</v>
      </c>
      <c r="F871">
        <v>2</v>
      </c>
      <c r="G871" t="s">
        <v>32</v>
      </c>
      <c r="H871" t="s">
        <v>199</v>
      </c>
      <c r="I871" t="s">
        <v>323</v>
      </c>
      <c r="J871" t="s">
        <v>327</v>
      </c>
      <c r="K871" t="s">
        <v>334</v>
      </c>
      <c r="L871" t="s">
        <v>334</v>
      </c>
      <c r="M871" t="s">
        <v>349</v>
      </c>
      <c r="N871" t="s">
        <v>352</v>
      </c>
      <c r="O871" t="s">
        <v>358</v>
      </c>
      <c r="P871" t="s">
        <v>360</v>
      </c>
      <c r="Q871">
        <v>243.12</v>
      </c>
      <c r="R871">
        <v>9</v>
      </c>
      <c r="S871">
        <v>-33.020000000000003</v>
      </c>
    </row>
    <row r="872" spans="1:19" x14ac:dyDescent="0.25">
      <c r="A872">
        <v>871</v>
      </c>
      <c r="B872" s="2">
        <v>44625</v>
      </c>
      <c r="C872">
        <v>2022</v>
      </c>
      <c r="D872" t="s">
        <v>24</v>
      </c>
      <c r="E872" s="2">
        <v>44627</v>
      </c>
      <c r="F872">
        <v>2</v>
      </c>
      <c r="G872" t="s">
        <v>34</v>
      </c>
      <c r="H872" t="s">
        <v>318</v>
      </c>
      <c r="I872" t="s">
        <v>324</v>
      </c>
      <c r="J872" t="s">
        <v>328</v>
      </c>
      <c r="K872" t="s">
        <v>336</v>
      </c>
      <c r="L872" t="s">
        <v>343</v>
      </c>
      <c r="M872" t="s">
        <v>347</v>
      </c>
      <c r="N872" t="s">
        <v>352</v>
      </c>
      <c r="O872" t="s">
        <v>358</v>
      </c>
      <c r="P872" t="s">
        <v>361</v>
      </c>
      <c r="Q872">
        <v>311.60000000000002</v>
      </c>
      <c r="R872">
        <v>6</v>
      </c>
      <c r="S872">
        <v>46.02</v>
      </c>
    </row>
    <row r="873" spans="1:19" x14ac:dyDescent="0.25">
      <c r="A873">
        <v>872</v>
      </c>
      <c r="B873" s="2">
        <v>44128</v>
      </c>
      <c r="C873">
        <v>2020</v>
      </c>
      <c r="D873" t="s">
        <v>22</v>
      </c>
      <c r="E873" s="2">
        <v>44136</v>
      </c>
      <c r="F873">
        <v>8</v>
      </c>
      <c r="G873" t="s">
        <v>32</v>
      </c>
      <c r="H873" t="s">
        <v>311</v>
      </c>
      <c r="I873" t="s">
        <v>324</v>
      </c>
      <c r="J873" t="s">
        <v>326</v>
      </c>
      <c r="K873" t="s">
        <v>331</v>
      </c>
      <c r="L873" t="s">
        <v>340</v>
      </c>
      <c r="M873" t="s">
        <v>347</v>
      </c>
      <c r="N873" t="s">
        <v>351</v>
      </c>
      <c r="O873" t="s">
        <v>355</v>
      </c>
      <c r="P873" t="s">
        <v>360</v>
      </c>
      <c r="Q873">
        <v>401.25</v>
      </c>
      <c r="R873">
        <v>1</v>
      </c>
      <c r="S873">
        <v>-87.23</v>
      </c>
    </row>
    <row r="874" spans="1:19" x14ac:dyDescent="0.25">
      <c r="A874">
        <v>873</v>
      </c>
      <c r="B874" s="2">
        <v>44121</v>
      </c>
      <c r="C874">
        <v>2020</v>
      </c>
      <c r="D874" t="s">
        <v>22</v>
      </c>
      <c r="E874" s="2">
        <v>44131</v>
      </c>
      <c r="F874">
        <v>10</v>
      </c>
      <c r="G874" t="s">
        <v>33</v>
      </c>
      <c r="H874" t="s">
        <v>286</v>
      </c>
      <c r="I874" t="s">
        <v>323</v>
      </c>
      <c r="J874" t="s">
        <v>326</v>
      </c>
      <c r="K874" t="s">
        <v>329</v>
      </c>
      <c r="L874" t="s">
        <v>338</v>
      </c>
      <c r="M874" t="s">
        <v>345</v>
      </c>
      <c r="N874" t="s">
        <v>350</v>
      </c>
      <c r="O874" t="s">
        <v>353</v>
      </c>
      <c r="P874" t="s">
        <v>360</v>
      </c>
      <c r="Q874">
        <v>215.4</v>
      </c>
      <c r="R874">
        <v>9</v>
      </c>
      <c r="S874">
        <v>-51.21</v>
      </c>
    </row>
    <row r="875" spans="1:19" x14ac:dyDescent="0.25">
      <c r="A875">
        <v>874</v>
      </c>
      <c r="B875" s="2">
        <v>45806</v>
      </c>
      <c r="C875">
        <v>2025</v>
      </c>
      <c r="D875" t="s">
        <v>19</v>
      </c>
      <c r="E875" s="2">
        <v>45813</v>
      </c>
      <c r="F875">
        <v>7</v>
      </c>
      <c r="G875" t="s">
        <v>32</v>
      </c>
      <c r="H875" t="s">
        <v>201</v>
      </c>
      <c r="I875" t="s">
        <v>324</v>
      </c>
      <c r="J875" t="s">
        <v>326</v>
      </c>
      <c r="K875" t="s">
        <v>331</v>
      </c>
      <c r="L875" t="s">
        <v>340</v>
      </c>
      <c r="M875" t="s">
        <v>347</v>
      </c>
      <c r="N875" t="s">
        <v>351</v>
      </c>
      <c r="O875" t="s">
        <v>355</v>
      </c>
      <c r="P875" t="s">
        <v>362</v>
      </c>
      <c r="Q875">
        <v>173.95</v>
      </c>
      <c r="R875">
        <v>3</v>
      </c>
      <c r="S875">
        <v>74.239999999999995</v>
      </c>
    </row>
    <row r="876" spans="1:19" x14ac:dyDescent="0.25">
      <c r="A876">
        <v>875</v>
      </c>
      <c r="B876" s="2">
        <v>44983</v>
      </c>
      <c r="C876">
        <v>2023</v>
      </c>
      <c r="D876" t="s">
        <v>28</v>
      </c>
      <c r="E876" s="2">
        <v>44992</v>
      </c>
      <c r="F876">
        <v>9</v>
      </c>
      <c r="G876" t="s">
        <v>32</v>
      </c>
      <c r="H876" t="s">
        <v>253</v>
      </c>
      <c r="I876" t="s">
        <v>325</v>
      </c>
      <c r="J876" t="s">
        <v>326</v>
      </c>
      <c r="K876" t="s">
        <v>333</v>
      </c>
      <c r="L876" t="s">
        <v>342</v>
      </c>
      <c r="M876" t="s">
        <v>345</v>
      </c>
      <c r="N876" t="s">
        <v>350</v>
      </c>
      <c r="O876" t="s">
        <v>353</v>
      </c>
      <c r="P876" t="s">
        <v>360</v>
      </c>
      <c r="Q876">
        <v>224.66</v>
      </c>
      <c r="R876">
        <v>4</v>
      </c>
      <c r="S876">
        <v>106.49</v>
      </c>
    </row>
    <row r="877" spans="1:19" x14ac:dyDescent="0.25">
      <c r="A877">
        <v>876</v>
      </c>
      <c r="B877" s="2">
        <v>44961</v>
      </c>
      <c r="C877">
        <v>2023</v>
      </c>
      <c r="D877" t="s">
        <v>28</v>
      </c>
      <c r="E877" s="2">
        <v>44967</v>
      </c>
      <c r="F877">
        <v>6</v>
      </c>
      <c r="G877" t="s">
        <v>34</v>
      </c>
      <c r="H877" t="s">
        <v>84</v>
      </c>
      <c r="I877" t="s">
        <v>324</v>
      </c>
      <c r="J877" t="s">
        <v>328</v>
      </c>
      <c r="K877" t="s">
        <v>335</v>
      </c>
      <c r="L877" t="s">
        <v>335</v>
      </c>
      <c r="M877" t="s">
        <v>345</v>
      </c>
      <c r="N877" t="s">
        <v>350</v>
      </c>
      <c r="O877" t="s">
        <v>354</v>
      </c>
      <c r="P877" t="s">
        <v>361</v>
      </c>
      <c r="Q877">
        <v>132.13999999999999</v>
      </c>
      <c r="R877">
        <v>3</v>
      </c>
      <c r="S877">
        <v>-0.84</v>
      </c>
    </row>
    <row r="878" spans="1:19" x14ac:dyDescent="0.25">
      <c r="A878">
        <v>877</v>
      </c>
      <c r="B878" s="2">
        <v>45588</v>
      </c>
      <c r="C878">
        <v>2024</v>
      </c>
      <c r="D878" t="s">
        <v>22</v>
      </c>
      <c r="E878" s="2">
        <v>45590</v>
      </c>
      <c r="F878">
        <v>2</v>
      </c>
      <c r="G878" t="s">
        <v>33</v>
      </c>
      <c r="H878" t="s">
        <v>319</v>
      </c>
      <c r="I878" t="s">
        <v>324</v>
      </c>
      <c r="J878" t="s">
        <v>326</v>
      </c>
      <c r="K878" t="s">
        <v>333</v>
      </c>
      <c r="L878" t="s">
        <v>342</v>
      </c>
      <c r="M878" t="s">
        <v>345</v>
      </c>
      <c r="N878" t="s">
        <v>352</v>
      </c>
      <c r="O878" t="s">
        <v>357</v>
      </c>
      <c r="P878" t="s">
        <v>362</v>
      </c>
      <c r="Q878">
        <v>71.489999999999995</v>
      </c>
      <c r="R878">
        <v>7</v>
      </c>
      <c r="S878">
        <v>-7.59</v>
      </c>
    </row>
    <row r="879" spans="1:19" x14ac:dyDescent="0.25">
      <c r="A879">
        <v>878</v>
      </c>
      <c r="B879" s="2">
        <v>45287</v>
      </c>
      <c r="C879">
        <v>2023</v>
      </c>
      <c r="D879" t="s">
        <v>29</v>
      </c>
      <c r="E879" s="2">
        <v>45296</v>
      </c>
      <c r="F879">
        <v>9</v>
      </c>
      <c r="G879" t="s">
        <v>33</v>
      </c>
      <c r="H879" t="s">
        <v>201</v>
      </c>
      <c r="I879" t="s">
        <v>323</v>
      </c>
      <c r="J879" t="s">
        <v>328</v>
      </c>
      <c r="K879" t="s">
        <v>332</v>
      </c>
      <c r="L879" t="s">
        <v>341</v>
      </c>
      <c r="M879" t="s">
        <v>348</v>
      </c>
      <c r="N879" t="s">
        <v>352</v>
      </c>
      <c r="O879" t="s">
        <v>358</v>
      </c>
      <c r="P879" t="s">
        <v>360</v>
      </c>
      <c r="Q879">
        <v>321</v>
      </c>
      <c r="R879">
        <v>10</v>
      </c>
      <c r="S879">
        <v>50.71</v>
      </c>
    </row>
    <row r="880" spans="1:19" x14ac:dyDescent="0.25">
      <c r="A880">
        <v>879</v>
      </c>
      <c r="B880" s="2">
        <v>44038</v>
      </c>
      <c r="C880">
        <v>2020</v>
      </c>
      <c r="D880" t="s">
        <v>20</v>
      </c>
      <c r="E880" s="2">
        <v>44046</v>
      </c>
      <c r="F880">
        <v>8</v>
      </c>
      <c r="G880" t="s">
        <v>31</v>
      </c>
      <c r="H880" t="s">
        <v>173</v>
      </c>
      <c r="I880" t="s">
        <v>323</v>
      </c>
      <c r="J880" t="s">
        <v>326</v>
      </c>
      <c r="K880" t="s">
        <v>331</v>
      </c>
      <c r="L880" t="s">
        <v>340</v>
      </c>
      <c r="M880" t="s">
        <v>347</v>
      </c>
      <c r="N880" t="s">
        <v>350</v>
      </c>
      <c r="O880" t="s">
        <v>354</v>
      </c>
      <c r="P880" t="s">
        <v>360</v>
      </c>
      <c r="Q880">
        <v>493.08</v>
      </c>
      <c r="R880">
        <v>1</v>
      </c>
      <c r="S880">
        <v>58.76</v>
      </c>
    </row>
    <row r="881" spans="1:19" x14ac:dyDescent="0.25">
      <c r="A881">
        <v>880</v>
      </c>
      <c r="B881" s="2">
        <v>44928</v>
      </c>
      <c r="C881">
        <v>2023</v>
      </c>
      <c r="D881" t="s">
        <v>23</v>
      </c>
      <c r="E881" s="2">
        <v>44937</v>
      </c>
      <c r="F881">
        <v>9</v>
      </c>
      <c r="G881" t="s">
        <v>32</v>
      </c>
      <c r="H881" t="s">
        <v>267</v>
      </c>
      <c r="I881" t="s">
        <v>325</v>
      </c>
      <c r="J881" t="s">
        <v>327</v>
      </c>
      <c r="K881" t="s">
        <v>330</v>
      </c>
      <c r="L881" t="s">
        <v>339</v>
      </c>
      <c r="M881" t="s">
        <v>346</v>
      </c>
      <c r="N881" t="s">
        <v>351</v>
      </c>
      <c r="O881" t="s">
        <v>355</v>
      </c>
      <c r="P881" t="s">
        <v>359</v>
      </c>
      <c r="Q881">
        <v>286.39</v>
      </c>
      <c r="R881">
        <v>4</v>
      </c>
      <c r="S881">
        <v>2.0299999999999998</v>
      </c>
    </row>
    <row r="882" spans="1:19" x14ac:dyDescent="0.25">
      <c r="A882">
        <v>881</v>
      </c>
      <c r="B882" s="2">
        <v>44465</v>
      </c>
      <c r="C882">
        <v>2021</v>
      </c>
      <c r="D882" t="s">
        <v>25</v>
      </c>
      <c r="E882" s="2">
        <v>44466</v>
      </c>
      <c r="F882">
        <v>1</v>
      </c>
      <c r="G882" t="s">
        <v>33</v>
      </c>
      <c r="H882" t="s">
        <v>126</v>
      </c>
      <c r="I882" t="s">
        <v>323</v>
      </c>
      <c r="J882" t="s">
        <v>326</v>
      </c>
      <c r="K882" t="s">
        <v>329</v>
      </c>
      <c r="L882" t="s">
        <v>338</v>
      </c>
      <c r="M882" t="s">
        <v>345</v>
      </c>
      <c r="N882" t="s">
        <v>352</v>
      </c>
      <c r="O882" t="s">
        <v>357</v>
      </c>
      <c r="P882" t="s">
        <v>362</v>
      </c>
      <c r="Q882">
        <v>221.75</v>
      </c>
      <c r="R882">
        <v>2</v>
      </c>
      <c r="S882">
        <v>104.2</v>
      </c>
    </row>
    <row r="883" spans="1:19" x14ac:dyDescent="0.25">
      <c r="A883">
        <v>882</v>
      </c>
      <c r="B883" s="2">
        <v>45467</v>
      </c>
      <c r="C883">
        <v>2024</v>
      </c>
      <c r="D883" t="s">
        <v>21</v>
      </c>
      <c r="E883" s="2">
        <v>45468</v>
      </c>
      <c r="F883">
        <v>1</v>
      </c>
      <c r="G883" t="s">
        <v>33</v>
      </c>
      <c r="H883" t="s">
        <v>82</v>
      </c>
      <c r="I883" t="s">
        <v>323</v>
      </c>
      <c r="J883" t="s">
        <v>326</v>
      </c>
      <c r="K883" t="s">
        <v>331</v>
      </c>
      <c r="L883" t="s">
        <v>340</v>
      </c>
      <c r="M883" t="s">
        <v>347</v>
      </c>
      <c r="N883" t="s">
        <v>351</v>
      </c>
      <c r="O883" t="s">
        <v>356</v>
      </c>
      <c r="P883" t="s">
        <v>360</v>
      </c>
      <c r="Q883">
        <v>203.36</v>
      </c>
      <c r="R883">
        <v>7</v>
      </c>
      <c r="S883">
        <v>14.31</v>
      </c>
    </row>
    <row r="884" spans="1:19" x14ac:dyDescent="0.25">
      <c r="A884">
        <v>883</v>
      </c>
      <c r="B884" s="2">
        <v>44075</v>
      </c>
      <c r="C884">
        <v>2020</v>
      </c>
      <c r="D884" t="s">
        <v>25</v>
      </c>
      <c r="E884" s="2">
        <v>44079</v>
      </c>
      <c r="F884">
        <v>4</v>
      </c>
      <c r="G884" t="s">
        <v>34</v>
      </c>
      <c r="H884" t="s">
        <v>288</v>
      </c>
      <c r="I884" t="s">
        <v>325</v>
      </c>
      <c r="J884" t="s">
        <v>327</v>
      </c>
      <c r="K884" t="s">
        <v>334</v>
      </c>
      <c r="L884" t="s">
        <v>334</v>
      </c>
      <c r="M884" t="s">
        <v>349</v>
      </c>
      <c r="N884" t="s">
        <v>351</v>
      </c>
      <c r="O884" t="s">
        <v>356</v>
      </c>
      <c r="P884" t="s">
        <v>359</v>
      </c>
      <c r="Q884">
        <v>46.78</v>
      </c>
      <c r="R884">
        <v>1</v>
      </c>
      <c r="S884">
        <v>-1.07</v>
      </c>
    </row>
    <row r="885" spans="1:19" x14ac:dyDescent="0.25">
      <c r="A885">
        <v>884</v>
      </c>
      <c r="B885" s="2">
        <v>43837</v>
      </c>
      <c r="C885">
        <v>2020</v>
      </c>
      <c r="D885" t="s">
        <v>23</v>
      </c>
      <c r="E885" s="2">
        <v>43843</v>
      </c>
      <c r="F885">
        <v>6</v>
      </c>
      <c r="G885" t="s">
        <v>31</v>
      </c>
      <c r="H885" t="s">
        <v>169</v>
      </c>
      <c r="I885" t="s">
        <v>325</v>
      </c>
      <c r="J885" t="s">
        <v>327</v>
      </c>
      <c r="K885" t="s">
        <v>330</v>
      </c>
      <c r="L885" t="s">
        <v>339</v>
      </c>
      <c r="M885" t="s">
        <v>346</v>
      </c>
      <c r="N885" t="s">
        <v>351</v>
      </c>
      <c r="O885" t="s">
        <v>356</v>
      </c>
      <c r="P885" t="s">
        <v>360</v>
      </c>
      <c r="Q885">
        <v>254.97</v>
      </c>
      <c r="R885">
        <v>8</v>
      </c>
      <c r="S885">
        <v>116.43</v>
      </c>
    </row>
    <row r="886" spans="1:19" x14ac:dyDescent="0.25">
      <c r="A886">
        <v>885</v>
      </c>
      <c r="B886" s="2">
        <v>43905</v>
      </c>
      <c r="C886">
        <v>2020</v>
      </c>
      <c r="D886" t="s">
        <v>24</v>
      </c>
      <c r="E886" s="2">
        <v>43909</v>
      </c>
      <c r="F886">
        <v>4</v>
      </c>
      <c r="G886" t="s">
        <v>32</v>
      </c>
      <c r="H886" t="s">
        <v>144</v>
      </c>
      <c r="I886" t="s">
        <v>324</v>
      </c>
      <c r="J886" t="s">
        <v>326</v>
      </c>
      <c r="K886" t="s">
        <v>329</v>
      </c>
      <c r="L886" t="s">
        <v>338</v>
      </c>
      <c r="M886" t="s">
        <v>345</v>
      </c>
      <c r="N886" t="s">
        <v>350</v>
      </c>
      <c r="O886" t="s">
        <v>353</v>
      </c>
      <c r="P886" t="s">
        <v>362</v>
      </c>
      <c r="Q886">
        <v>394.37</v>
      </c>
      <c r="R886">
        <v>4</v>
      </c>
      <c r="S886">
        <v>95.07</v>
      </c>
    </row>
    <row r="887" spans="1:19" x14ac:dyDescent="0.25">
      <c r="A887">
        <v>886</v>
      </c>
      <c r="B887" s="2">
        <v>43999</v>
      </c>
      <c r="C887">
        <v>2020</v>
      </c>
      <c r="D887" t="s">
        <v>21</v>
      </c>
      <c r="E887" s="2">
        <v>44005</v>
      </c>
      <c r="F887">
        <v>6</v>
      </c>
      <c r="G887" t="s">
        <v>34</v>
      </c>
      <c r="H887" t="s">
        <v>36</v>
      </c>
      <c r="I887" t="s">
        <v>324</v>
      </c>
      <c r="J887" t="s">
        <v>328</v>
      </c>
      <c r="K887" t="s">
        <v>335</v>
      </c>
      <c r="L887" t="s">
        <v>335</v>
      </c>
      <c r="M887" t="s">
        <v>345</v>
      </c>
      <c r="N887" t="s">
        <v>351</v>
      </c>
      <c r="O887" t="s">
        <v>356</v>
      </c>
      <c r="P887" t="s">
        <v>362</v>
      </c>
      <c r="Q887">
        <v>72.73</v>
      </c>
      <c r="R887">
        <v>2</v>
      </c>
      <c r="S887">
        <v>-10.55</v>
      </c>
    </row>
    <row r="888" spans="1:19" x14ac:dyDescent="0.25">
      <c r="A888">
        <v>887</v>
      </c>
      <c r="B888" s="2">
        <v>45353</v>
      </c>
      <c r="C888">
        <v>2024</v>
      </c>
      <c r="D888" t="s">
        <v>24</v>
      </c>
      <c r="E888" s="2">
        <v>45360</v>
      </c>
      <c r="F888">
        <v>7</v>
      </c>
      <c r="G888" t="s">
        <v>34</v>
      </c>
      <c r="H888" t="s">
        <v>225</v>
      </c>
      <c r="I888" t="s">
        <v>324</v>
      </c>
      <c r="J888" t="s">
        <v>326</v>
      </c>
      <c r="K888" t="s">
        <v>329</v>
      </c>
      <c r="L888" t="s">
        <v>338</v>
      </c>
      <c r="M888" t="s">
        <v>345</v>
      </c>
      <c r="N888" t="s">
        <v>350</v>
      </c>
      <c r="O888" t="s">
        <v>353</v>
      </c>
      <c r="P888" t="s">
        <v>362</v>
      </c>
      <c r="Q888">
        <v>329.79</v>
      </c>
      <c r="R888">
        <v>7</v>
      </c>
      <c r="S888">
        <v>-90.2</v>
      </c>
    </row>
    <row r="889" spans="1:19" x14ac:dyDescent="0.25">
      <c r="A889">
        <v>888</v>
      </c>
      <c r="B889" s="2">
        <v>45316</v>
      </c>
      <c r="C889">
        <v>2024</v>
      </c>
      <c r="D889" t="s">
        <v>23</v>
      </c>
      <c r="E889" s="2">
        <v>45319</v>
      </c>
      <c r="F889">
        <v>3</v>
      </c>
      <c r="G889" t="s">
        <v>31</v>
      </c>
      <c r="H889" t="s">
        <v>56</v>
      </c>
      <c r="I889" t="s">
        <v>323</v>
      </c>
      <c r="J889" t="s">
        <v>328</v>
      </c>
      <c r="K889" t="s">
        <v>336</v>
      </c>
      <c r="L889" t="s">
        <v>343</v>
      </c>
      <c r="M889" t="s">
        <v>347</v>
      </c>
      <c r="N889" t="s">
        <v>352</v>
      </c>
      <c r="O889" t="s">
        <v>357</v>
      </c>
      <c r="P889" t="s">
        <v>362</v>
      </c>
      <c r="Q889">
        <v>53</v>
      </c>
      <c r="R889">
        <v>2</v>
      </c>
      <c r="S889">
        <v>-8.0299999999999994</v>
      </c>
    </row>
    <row r="890" spans="1:19" x14ac:dyDescent="0.25">
      <c r="A890">
        <v>889</v>
      </c>
      <c r="B890" s="2">
        <v>45895</v>
      </c>
      <c r="C890">
        <v>2025</v>
      </c>
      <c r="D890" t="s">
        <v>27</v>
      </c>
      <c r="E890" s="2">
        <v>45903</v>
      </c>
      <c r="F890">
        <v>8</v>
      </c>
      <c r="G890" t="s">
        <v>34</v>
      </c>
      <c r="H890" t="s">
        <v>67</v>
      </c>
      <c r="I890" t="s">
        <v>325</v>
      </c>
      <c r="J890" t="s">
        <v>327</v>
      </c>
      <c r="K890" t="s">
        <v>334</v>
      </c>
      <c r="L890" t="s">
        <v>334</v>
      </c>
      <c r="M890" t="s">
        <v>349</v>
      </c>
      <c r="N890" t="s">
        <v>352</v>
      </c>
      <c r="O890" t="s">
        <v>357</v>
      </c>
      <c r="P890" t="s">
        <v>359</v>
      </c>
      <c r="Q890">
        <v>42.42</v>
      </c>
      <c r="R890">
        <v>8</v>
      </c>
      <c r="S890">
        <v>14.64</v>
      </c>
    </row>
    <row r="891" spans="1:19" x14ac:dyDescent="0.25">
      <c r="A891">
        <v>890</v>
      </c>
      <c r="B891" s="2">
        <v>44547</v>
      </c>
      <c r="C891">
        <v>2021</v>
      </c>
      <c r="D891" t="s">
        <v>29</v>
      </c>
      <c r="E891" s="2">
        <v>44550</v>
      </c>
      <c r="F891">
        <v>3</v>
      </c>
      <c r="G891" t="s">
        <v>31</v>
      </c>
      <c r="H891" t="s">
        <v>209</v>
      </c>
      <c r="I891" t="s">
        <v>323</v>
      </c>
      <c r="J891" t="s">
        <v>327</v>
      </c>
      <c r="K891" t="s">
        <v>334</v>
      </c>
      <c r="L891" t="s">
        <v>334</v>
      </c>
      <c r="M891" t="s">
        <v>349</v>
      </c>
      <c r="N891" t="s">
        <v>350</v>
      </c>
      <c r="O891" t="s">
        <v>354</v>
      </c>
      <c r="P891" t="s">
        <v>361</v>
      </c>
      <c r="Q891">
        <v>51.15</v>
      </c>
      <c r="R891">
        <v>9</v>
      </c>
      <c r="S891">
        <v>19.78</v>
      </c>
    </row>
    <row r="892" spans="1:19" x14ac:dyDescent="0.25">
      <c r="A892">
        <v>891</v>
      </c>
      <c r="B892" s="2">
        <v>45368</v>
      </c>
      <c r="C892">
        <v>2024</v>
      </c>
      <c r="D892" t="s">
        <v>24</v>
      </c>
      <c r="E892" s="2">
        <v>45369</v>
      </c>
      <c r="F892">
        <v>1</v>
      </c>
      <c r="G892" t="s">
        <v>31</v>
      </c>
      <c r="H892" t="s">
        <v>55</v>
      </c>
      <c r="I892" t="s">
        <v>324</v>
      </c>
      <c r="J892" t="s">
        <v>327</v>
      </c>
      <c r="K892" t="s">
        <v>334</v>
      </c>
      <c r="L892" t="s">
        <v>334</v>
      </c>
      <c r="M892" t="s">
        <v>349</v>
      </c>
      <c r="N892" t="s">
        <v>351</v>
      </c>
      <c r="O892" t="s">
        <v>356</v>
      </c>
      <c r="P892" t="s">
        <v>362</v>
      </c>
      <c r="Q892">
        <v>21.6</v>
      </c>
      <c r="R892">
        <v>4</v>
      </c>
      <c r="S892">
        <v>-2.68</v>
      </c>
    </row>
    <row r="893" spans="1:19" x14ac:dyDescent="0.25">
      <c r="A893">
        <v>892</v>
      </c>
      <c r="B893" s="2">
        <v>45353</v>
      </c>
      <c r="C893">
        <v>2024</v>
      </c>
      <c r="D893" t="s">
        <v>24</v>
      </c>
      <c r="E893" s="2">
        <v>45355</v>
      </c>
      <c r="F893">
        <v>2</v>
      </c>
      <c r="G893" t="s">
        <v>31</v>
      </c>
      <c r="H893" t="s">
        <v>73</v>
      </c>
      <c r="I893" t="s">
        <v>325</v>
      </c>
      <c r="J893" t="s">
        <v>327</v>
      </c>
      <c r="K893" t="s">
        <v>337</v>
      </c>
      <c r="L893" t="s">
        <v>344</v>
      </c>
      <c r="M893" t="s">
        <v>347</v>
      </c>
      <c r="N893" t="s">
        <v>351</v>
      </c>
      <c r="O893" t="s">
        <v>356</v>
      </c>
      <c r="P893" t="s">
        <v>359</v>
      </c>
      <c r="Q893">
        <v>275.76</v>
      </c>
      <c r="R893">
        <v>4</v>
      </c>
      <c r="S893">
        <v>52.86</v>
      </c>
    </row>
    <row r="894" spans="1:19" x14ac:dyDescent="0.25">
      <c r="A894">
        <v>893</v>
      </c>
      <c r="B894" s="2">
        <v>44036</v>
      </c>
      <c r="C894">
        <v>2020</v>
      </c>
      <c r="D894" t="s">
        <v>20</v>
      </c>
      <c r="E894" s="2">
        <v>44037</v>
      </c>
      <c r="F894">
        <v>1</v>
      </c>
      <c r="G894" t="s">
        <v>32</v>
      </c>
      <c r="H894" t="s">
        <v>235</v>
      </c>
      <c r="I894" t="s">
        <v>323</v>
      </c>
      <c r="J894" t="s">
        <v>327</v>
      </c>
      <c r="K894" t="s">
        <v>334</v>
      </c>
      <c r="L894" t="s">
        <v>334</v>
      </c>
      <c r="M894" t="s">
        <v>349</v>
      </c>
      <c r="N894" t="s">
        <v>352</v>
      </c>
      <c r="O894" t="s">
        <v>357</v>
      </c>
      <c r="P894" t="s">
        <v>361</v>
      </c>
      <c r="Q894">
        <v>328.67</v>
      </c>
      <c r="R894">
        <v>6</v>
      </c>
      <c r="S894">
        <v>58.53</v>
      </c>
    </row>
    <row r="895" spans="1:19" x14ac:dyDescent="0.25">
      <c r="A895">
        <v>894</v>
      </c>
      <c r="B895" s="2">
        <v>44545</v>
      </c>
      <c r="C895">
        <v>2021</v>
      </c>
      <c r="D895" t="s">
        <v>29</v>
      </c>
      <c r="E895" s="2">
        <v>44554</v>
      </c>
      <c r="F895">
        <v>9</v>
      </c>
      <c r="G895" t="s">
        <v>32</v>
      </c>
      <c r="H895" t="s">
        <v>263</v>
      </c>
      <c r="I895" t="s">
        <v>324</v>
      </c>
      <c r="J895" t="s">
        <v>327</v>
      </c>
      <c r="K895" t="s">
        <v>334</v>
      </c>
      <c r="L895" t="s">
        <v>334</v>
      </c>
      <c r="M895" t="s">
        <v>349</v>
      </c>
      <c r="N895" t="s">
        <v>351</v>
      </c>
      <c r="O895" t="s">
        <v>356</v>
      </c>
      <c r="P895" t="s">
        <v>362</v>
      </c>
      <c r="Q895">
        <v>273.19</v>
      </c>
      <c r="R895">
        <v>1</v>
      </c>
      <c r="S895">
        <v>30.59</v>
      </c>
    </row>
    <row r="896" spans="1:19" x14ac:dyDescent="0.25">
      <c r="A896">
        <v>895</v>
      </c>
      <c r="B896" s="2">
        <v>44649</v>
      </c>
      <c r="C896">
        <v>2022</v>
      </c>
      <c r="D896" t="s">
        <v>24</v>
      </c>
      <c r="E896" s="2">
        <v>44658</v>
      </c>
      <c r="F896">
        <v>9</v>
      </c>
      <c r="G896" t="s">
        <v>31</v>
      </c>
      <c r="H896" t="s">
        <v>46</v>
      </c>
      <c r="I896" t="s">
        <v>323</v>
      </c>
      <c r="J896" t="s">
        <v>326</v>
      </c>
      <c r="K896" t="s">
        <v>333</v>
      </c>
      <c r="L896" t="s">
        <v>342</v>
      </c>
      <c r="M896" t="s">
        <v>345</v>
      </c>
      <c r="N896" t="s">
        <v>350</v>
      </c>
      <c r="O896" t="s">
        <v>353</v>
      </c>
      <c r="P896" t="s">
        <v>359</v>
      </c>
      <c r="Q896">
        <v>166.71</v>
      </c>
      <c r="R896">
        <v>2</v>
      </c>
      <c r="S896">
        <v>17.170000000000002</v>
      </c>
    </row>
    <row r="897" spans="1:19" x14ac:dyDescent="0.25">
      <c r="A897">
        <v>896</v>
      </c>
      <c r="B897" s="2">
        <v>43897</v>
      </c>
      <c r="C897">
        <v>2020</v>
      </c>
      <c r="D897" t="s">
        <v>24</v>
      </c>
      <c r="E897" s="2">
        <v>43907</v>
      </c>
      <c r="F897">
        <v>10</v>
      </c>
      <c r="G897" t="s">
        <v>33</v>
      </c>
      <c r="H897" t="s">
        <v>111</v>
      </c>
      <c r="I897" t="s">
        <v>324</v>
      </c>
      <c r="J897" t="s">
        <v>328</v>
      </c>
      <c r="K897" t="s">
        <v>332</v>
      </c>
      <c r="L897" t="s">
        <v>341</v>
      </c>
      <c r="M897" t="s">
        <v>348</v>
      </c>
      <c r="N897" t="s">
        <v>350</v>
      </c>
      <c r="O897" t="s">
        <v>354</v>
      </c>
      <c r="P897" t="s">
        <v>359</v>
      </c>
      <c r="Q897">
        <v>68.2</v>
      </c>
      <c r="R897">
        <v>1</v>
      </c>
      <c r="S897">
        <v>7.65</v>
      </c>
    </row>
    <row r="898" spans="1:19" x14ac:dyDescent="0.25">
      <c r="A898">
        <v>897</v>
      </c>
      <c r="B898" s="2">
        <v>44732</v>
      </c>
      <c r="C898">
        <v>2022</v>
      </c>
      <c r="D898" t="s">
        <v>21</v>
      </c>
      <c r="E898" s="2">
        <v>44736</v>
      </c>
      <c r="F898">
        <v>4</v>
      </c>
      <c r="G898" t="s">
        <v>34</v>
      </c>
      <c r="H898" t="s">
        <v>270</v>
      </c>
      <c r="I898" t="s">
        <v>325</v>
      </c>
      <c r="J898" t="s">
        <v>328</v>
      </c>
      <c r="K898" t="s">
        <v>335</v>
      </c>
      <c r="L898" t="s">
        <v>335</v>
      </c>
      <c r="M898" t="s">
        <v>345</v>
      </c>
      <c r="N898" t="s">
        <v>352</v>
      </c>
      <c r="O898" t="s">
        <v>357</v>
      </c>
      <c r="P898" t="s">
        <v>359</v>
      </c>
      <c r="Q898">
        <v>280.37</v>
      </c>
      <c r="R898">
        <v>7</v>
      </c>
      <c r="S898">
        <v>22.24</v>
      </c>
    </row>
    <row r="899" spans="1:19" x14ac:dyDescent="0.25">
      <c r="A899">
        <v>898</v>
      </c>
      <c r="B899" s="2">
        <v>44949</v>
      </c>
      <c r="C899">
        <v>2023</v>
      </c>
      <c r="D899" t="s">
        <v>23</v>
      </c>
      <c r="E899" s="2">
        <v>44957</v>
      </c>
      <c r="F899">
        <v>8</v>
      </c>
      <c r="G899" t="s">
        <v>34</v>
      </c>
      <c r="H899" t="s">
        <v>239</v>
      </c>
      <c r="I899" t="s">
        <v>324</v>
      </c>
      <c r="J899" t="s">
        <v>327</v>
      </c>
      <c r="K899" t="s">
        <v>334</v>
      </c>
      <c r="L899" t="s">
        <v>334</v>
      </c>
      <c r="M899" t="s">
        <v>349</v>
      </c>
      <c r="N899" t="s">
        <v>352</v>
      </c>
      <c r="O899" t="s">
        <v>357</v>
      </c>
      <c r="P899" t="s">
        <v>361</v>
      </c>
      <c r="Q899">
        <v>245.68</v>
      </c>
      <c r="R899">
        <v>9</v>
      </c>
      <c r="S899">
        <v>-5.96</v>
      </c>
    </row>
    <row r="900" spans="1:19" x14ac:dyDescent="0.25">
      <c r="A900">
        <v>899</v>
      </c>
      <c r="B900" s="2">
        <v>45768</v>
      </c>
      <c r="C900">
        <v>2025</v>
      </c>
      <c r="D900" t="s">
        <v>26</v>
      </c>
      <c r="E900" s="2">
        <v>45776</v>
      </c>
      <c r="F900">
        <v>8</v>
      </c>
      <c r="G900" t="s">
        <v>31</v>
      </c>
      <c r="H900" t="s">
        <v>286</v>
      </c>
      <c r="I900" t="s">
        <v>324</v>
      </c>
      <c r="J900" t="s">
        <v>326</v>
      </c>
      <c r="K900" t="s">
        <v>329</v>
      </c>
      <c r="L900" t="s">
        <v>338</v>
      </c>
      <c r="M900" t="s">
        <v>345</v>
      </c>
      <c r="N900" t="s">
        <v>350</v>
      </c>
      <c r="O900" t="s">
        <v>353</v>
      </c>
      <c r="P900" t="s">
        <v>362</v>
      </c>
      <c r="Q900">
        <v>381.25</v>
      </c>
      <c r="R900">
        <v>3</v>
      </c>
      <c r="S900">
        <v>152.29</v>
      </c>
    </row>
    <row r="901" spans="1:19" x14ac:dyDescent="0.25">
      <c r="A901">
        <v>900</v>
      </c>
      <c r="B901" s="2">
        <v>44536</v>
      </c>
      <c r="C901">
        <v>2021</v>
      </c>
      <c r="D901" t="s">
        <v>29</v>
      </c>
      <c r="E901" s="2">
        <v>44543</v>
      </c>
      <c r="F901">
        <v>7</v>
      </c>
      <c r="G901" t="s">
        <v>34</v>
      </c>
      <c r="H901" t="s">
        <v>307</v>
      </c>
      <c r="I901" t="s">
        <v>324</v>
      </c>
      <c r="J901" t="s">
        <v>326</v>
      </c>
      <c r="K901" t="s">
        <v>329</v>
      </c>
      <c r="L901" t="s">
        <v>338</v>
      </c>
      <c r="M901" t="s">
        <v>345</v>
      </c>
      <c r="N901" t="s">
        <v>352</v>
      </c>
      <c r="O901" t="s">
        <v>358</v>
      </c>
      <c r="P901" t="s">
        <v>361</v>
      </c>
      <c r="Q901">
        <v>470.64</v>
      </c>
      <c r="R901">
        <v>10</v>
      </c>
      <c r="S901">
        <v>118.17</v>
      </c>
    </row>
    <row r="902" spans="1:19" x14ac:dyDescent="0.25">
      <c r="A902">
        <v>901</v>
      </c>
      <c r="B902" s="2">
        <v>44251</v>
      </c>
      <c r="C902">
        <v>2021</v>
      </c>
      <c r="D902" t="s">
        <v>28</v>
      </c>
      <c r="E902" s="2">
        <v>44261</v>
      </c>
      <c r="F902">
        <v>10</v>
      </c>
      <c r="G902" t="s">
        <v>31</v>
      </c>
      <c r="H902" t="s">
        <v>38</v>
      </c>
      <c r="I902" t="s">
        <v>323</v>
      </c>
      <c r="J902" t="s">
        <v>326</v>
      </c>
      <c r="K902" t="s">
        <v>331</v>
      </c>
      <c r="L902" t="s">
        <v>340</v>
      </c>
      <c r="M902" t="s">
        <v>347</v>
      </c>
      <c r="N902" t="s">
        <v>352</v>
      </c>
      <c r="O902" t="s">
        <v>358</v>
      </c>
      <c r="P902" t="s">
        <v>360</v>
      </c>
      <c r="Q902">
        <v>499.51</v>
      </c>
      <c r="R902">
        <v>1</v>
      </c>
      <c r="S902">
        <v>-39.67</v>
      </c>
    </row>
    <row r="903" spans="1:19" x14ac:dyDescent="0.25">
      <c r="A903">
        <v>902</v>
      </c>
      <c r="B903" s="2">
        <v>44158</v>
      </c>
      <c r="C903">
        <v>2020</v>
      </c>
      <c r="D903" t="s">
        <v>30</v>
      </c>
      <c r="E903" s="2">
        <v>44165</v>
      </c>
      <c r="F903">
        <v>7</v>
      </c>
      <c r="G903" t="s">
        <v>32</v>
      </c>
      <c r="H903" t="s">
        <v>236</v>
      </c>
      <c r="I903" t="s">
        <v>324</v>
      </c>
      <c r="J903" t="s">
        <v>328</v>
      </c>
      <c r="K903" t="s">
        <v>336</v>
      </c>
      <c r="L903" t="s">
        <v>343</v>
      </c>
      <c r="M903" t="s">
        <v>347</v>
      </c>
      <c r="N903" t="s">
        <v>351</v>
      </c>
      <c r="O903" t="s">
        <v>355</v>
      </c>
      <c r="P903" t="s">
        <v>359</v>
      </c>
      <c r="Q903">
        <v>480.15</v>
      </c>
      <c r="R903">
        <v>4</v>
      </c>
      <c r="S903">
        <v>-83.4</v>
      </c>
    </row>
    <row r="904" spans="1:19" x14ac:dyDescent="0.25">
      <c r="A904">
        <v>903</v>
      </c>
      <c r="B904" s="2">
        <v>44270</v>
      </c>
      <c r="C904">
        <v>2021</v>
      </c>
      <c r="D904" t="s">
        <v>24</v>
      </c>
      <c r="E904" s="2">
        <v>44280</v>
      </c>
      <c r="F904">
        <v>10</v>
      </c>
      <c r="G904" t="s">
        <v>33</v>
      </c>
      <c r="H904" t="s">
        <v>320</v>
      </c>
      <c r="I904" t="s">
        <v>324</v>
      </c>
      <c r="J904" t="s">
        <v>327</v>
      </c>
      <c r="K904" t="s">
        <v>330</v>
      </c>
      <c r="L904" t="s">
        <v>339</v>
      </c>
      <c r="M904" t="s">
        <v>346</v>
      </c>
      <c r="N904" t="s">
        <v>350</v>
      </c>
      <c r="O904" t="s">
        <v>353</v>
      </c>
      <c r="P904" t="s">
        <v>361</v>
      </c>
      <c r="Q904">
        <v>345.18</v>
      </c>
      <c r="R904">
        <v>7</v>
      </c>
      <c r="S904">
        <v>39.950000000000003</v>
      </c>
    </row>
    <row r="905" spans="1:19" x14ac:dyDescent="0.25">
      <c r="A905">
        <v>904</v>
      </c>
      <c r="B905" s="2">
        <v>45668</v>
      </c>
      <c r="C905">
        <v>2025</v>
      </c>
      <c r="D905" t="s">
        <v>23</v>
      </c>
      <c r="E905" s="2">
        <v>45675</v>
      </c>
      <c r="F905">
        <v>7</v>
      </c>
      <c r="G905" t="s">
        <v>34</v>
      </c>
      <c r="H905" t="s">
        <v>237</v>
      </c>
      <c r="I905" t="s">
        <v>323</v>
      </c>
      <c r="J905" t="s">
        <v>328</v>
      </c>
      <c r="K905" t="s">
        <v>336</v>
      </c>
      <c r="L905" t="s">
        <v>343</v>
      </c>
      <c r="M905" t="s">
        <v>347</v>
      </c>
      <c r="N905" t="s">
        <v>352</v>
      </c>
      <c r="O905" t="s">
        <v>357</v>
      </c>
      <c r="P905" t="s">
        <v>361</v>
      </c>
      <c r="Q905">
        <v>462.92</v>
      </c>
      <c r="R905">
        <v>5</v>
      </c>
      <c r="S905">
        <v>50.97</v>
      </c>
    </row>
    <row r="906" spans="1:19" x14ac:dyDescent="0.25">
      <c r="A906">
        <v>905</v>
      </c>
      <c r="B906" s="2">
        <v>43977</v>
      </c>
      <c r="C906">
        <v>2020</v>
      </c>
      <c r="D906" t="s">
        <v>19</v>
      </c>
      <c r="E906" s="2">
        <v>43982</v>
      </c>
      <c r="F906">
        <v>5</v>
      </c>
      <c r="G906" t="s">
        <v>31</v>
      </c>
      <c r="H906" t="s">
        <v>219</v>
      </c>
      <c r="I906" t="s">
        <v>323</v>
      </c>
      <c r="J906" t="s">
        <v>327</v>
      </c>
      <c r="K906" t="s">
        <v>337</v>
      </c>
      <c r="L906" t="s">
        <v>344</v>
      </c>
      <c r="M906" t="s">
        <v>347</v>
      </c>
      <c r="N906" t="s">
        <v>351</v>
      </c>
      <c r="O906" t="s">
        <v>355</v>
      </c>
      <c r="P906" t="s">
        <v>359</v>
      </c>
      <c r="Q906">
        <v>70.34</v>
      </c>
      <c r="R906">
        <v>3</v>
      </c>
      <c r="S906">
        <v>2.09</v>
      </c>
    </row>
    <row r="907" spans="1:19" x14ac:dyDescent="0.25">
      <c r="A907">
        <v>906</v>
      </c>
      <c r="B907" s="2">
        <v>45762</v>
      </c>
      <c r="C907">
        <v>2025</v>
      </c>
      <c r="D907" t="s">
        <v>26</v>
      </c>
      <c r="E907" s="2">
        <v>45764</v>
      </c>
      <c r="F907">
        <v>2</v>
      </c>
      <c r="G907" t="s">
        <v>33</v>
      </c>
      <c r="H907" t="s">
        <v>189</v>
      </c>
      <c r="I907" t="s">
        <v>325</v>
      </c>
      <c r="J907" t="s">
        <v>326</v>
      </c>
      <c r="K907" t="s">
        <v>333</v>
      </c>
      <c r="L907" t="s">
        <v>342</v>
      </c>
      <c r="M907" t="s">
        <v>345</v>
      </c>
      <c r="N907" t="s">
        <v>351</v>
      </c>
      <c r="O907" t="s">
        <v>355</v>
      </c>
      <c r="P907" t="s">
        <v>360</v>
      </c>
      <c r="Q907">
        <v>406.6</v>
      </c>
      <c r="R907">
        <v>6</v>
      </c>
      <c r="S907">
        <v>56.26</v>
      </c>
    </row>
    <row r="908" spans="1:19" x14ac:dyDescent="0.25">
      <c r="A908">
        <v>907</v>
      </c>
      <c r="B908" s="2">
        <v>45309</v>
      </c>
      <c r="C908">
        <v>2024</v>
      </c>
      <c r="D908" t="s">
        <v>23</v>
      </c>
      <c r="E908" s="2">
        <v>45314</v>
      </c>
      <c r="F908">
        <v>5</v>
      </c>
      <c r="G908" t="s">
        <v>33</v>
      </c>
      <c r="H908" t="s">
        <v>81</v>
      </c>
      <c r="I908" t="s">
        <v>323</v>
      </c>
      <c r="J908" t="s">
        <v>327</v>
      </c>
      <c r="K908" t="s">
        <v>337</v>
      </c>
      <c r="L908" t="s">
        <v>344</v>
      </c>
      <c r="M908" t="s">
        <v>347</v>
      </c>
      <c r="N908" t="s">
        <v>352</v>
      </c>
      <c r="O908" t="s">
        <v>358</v>
      </c>
      <c r="P908" t="s">
        <v>360</v>
      </c>
      <c r="Q908">
        <v>298.56</v>
      </c>
      <c r="R908">
        <v>6</v>
      </c>
      <c r="S908">
        <v>-76.84</v>
      </c>
    </row>
    <row r="909" spans="1:19" x14ac:dyDescent="0.25">
      <c r="A909">
        <v>908</v>
      </c>
      <c r="B909" s="2">
        <v>45678</v>
      </c>
      <c r="C909">
        <v>2025</v>
      </c>
      <c r="D909" t="s">
        <v>23</v>
      </c>
      <c r="E909" s="2">
        <v>45687</v>
      </c>
      <c r="F909">
        <v>9</v>
      </c>
      <c r="G909" t="s">
        <v>34</v>
      </c>
      <c r="H909" t="s">
        <v>181</v>
      </c>
      <c r="I909" t="s">
        <v>325</v>
      </c>
      <c r="J909" t="s">
        <v>326</v>
      </c>
      <c r="K909" t="s">
        <v>331</v>
      </c>
      <c r="L909" t="s">
        <v>340</v>
      </c>
      <c r="M909" t="s">
        <v>347</v>
      </c>
      <c r="N909" t="s">
        <v>352</v>
      </c>
      <c r="O909" t="s">
        <v>358</v>
      </c>
      <c r="P909" t="s">
        <v>359</v>
      </c>
      <c r="Q909">
        <v>336.62</v>
      </c>
      <c r="R909">
        <v>6</v>
      </c>
      <c r="S909">
        <v>90.41</v>
      </c>
    </row>
    <row r="910" spans="1:19" x14ac:dyDescent="0.25">
      <c r="A910">
        <v>909</v>
      </c>
      <c r="B910" s="2">
        <v>45674</v>
      </c>
      <c r="C910">
        <v>2025</v>
      </c>
      <c r="D910" t="s">
        <v>23</v>
      </c>
      <c r="E910" s="2">
        <v>45679</v>
      </c>
      <c r="F910">
        <v>5</v>
      </c>
      <c r="G910" t="s">
        <v>32</v>
      </c>
      <c r="H910" t="s">
        <v>91</v>
      </c>
      <c r="I910" t="s">
        <v>323</v>
      </c>
      <c r="J910" t="s">
        <v>326</v>
      </c>
      <c r="K910" t="s">
        <v>329</v>
      </c>
      <c r="L910" t="s">
        <v>338</v>
      </c>
      <c r="M910" t="s">
        <v>345</v>
      </c>
      <c r="N910" t="s">
        <v>350</v>
      </c>
      <c r="O910" t="s">
        <v>353</v>
      </c>
      <c r="P910" t="s">
        <v>359</v>
      </c>
      <c r="Q910">
        <v>207.28</v>
      </c>
      <c r="R910">
        <v>3</v>
      </c>
      <c r="S910">
        <v>5.72</v>
      </c>
    </row>
    <row r="911" spans="1:19" x14ac:dyDescent="0.25">
      <c r="A911">
        <v>910</v>
      </c>
      <c r="B911" s="2">
        <v>45526</v>
      </c>
      <c r="C911">
        <v>2024</v>
      </c>
      <c r="D911" t="s">
        <v>27</v>
      </c>
      <c r="E911" s="2">
        <v>45532</v>
      </c>
      <c r="F911">
        <v>6</v>
      </c>
      <c r="G911" t="s">
        <v>34</v>
      </c>
      <c r="H911" t="s">
        <v>86</v>
      </c>
      <c r="I911" t="s">
        <v>325</v>
      </c>
      <c r="J911" t="s">
        <v>327</v>
      </c>
      <c r="K911" t="s">
        <v>330</v>
      </c>
      <c r="L911" t="s">
        <v>339</v>
      </c>
      <c r="M911" t="s">
        <v>346</v>
      </c>
      <c r="N911" t="s">
        <v>351</v>
      </c>
      <c r="O911" t="s">
        <v>355</v>
      </c>
      <c r="P911" t="s">
        <v>362</v>
      </c>
      <c r="Q911">
        <v>239.9</v>
      </c>
      <c r="R911">
        <v>9</v>
      </c>
      <c r="S911">
        <v>-7.17</v>
      </c>
    </row>
    <row r="912" spans="1:19" x14ac:dyDescent="0.25">
      <c r="A912">
        <v>911</v>
      </c>
      <c r="B912" s="2">
        <v>44486</v>
      </c>
      <c r="C912">
        <v>2021</v>
      </c>
      <c r="D912" t="s">
        <v>22</v>
      </c>
      <c r="E912" s="2">
        <v>44495</v>
      </c>
      <c r="F912">
        <v>9</v>
      </c>
      <c r="G912" t="s">
        <v>31</v>
      </c>
      <c r="H912" t="s">
        <v>144</v>
      </c>
      <c r="I912" t="s">
        <v>325</v>
      </c>
      <c r="J912" t="s">
        <v>327</v>
      </c>
      <c r="K912" t="s">
        <v>334</v>
      </c>
      <c r="L912" t="s">
        <v>334</v>
      </c>
      <c r="M912" t="s">
        <v>349</v>
      </c>
      <c r="N912" t="s">
        <v>352</v>
      </c>
      <c r="O912" t="s">
        <v>358</v>
      </c>
      <c r="P912" t="s">
        <v>360</v>
      </c>
      <c r="Q912">
        <v>193.53</v>
      </c>
      <c r="R912">
        <v>9</v>
      </c>
      <c r="S912">
        <v>-4.1900000000000004</v>
      </c>
    </row>
    <row r="913" spans="1:19" x14ac:dyDescent="0.25">
      <c r="A913">
        <v>912</v>
      </c>
      <c r="B913" s="2">
        <v>45510</v>
      </c>
      <c r="C913">
        <v>2024</v>
      </c>
      <c r="D913" t="s">
        <v>27</v>
      </c>
      <c r="E913" s="2">
        <v>45513</v>
      </c>
      <c r="F913">
        <v>3</v>
      </c>
      <c r="G913" t="s">
        <v>31</v>
      </c>
      <c r="H913" t="s">
        <v>70</v>
      </c>
      <c r="I913" t="s">
        <v>324</v>
      </c>
      <c r="J913" t="s">
        <v>326</v>
      </c>
      <c r="K913" t="s">
        <v>333</v>
      </c>
      <c r="L913" t="s">
        <v>342</v>
      </c>
      <c r="M913" t="s">
        <v>345</v>
      </c>
      <c r="N913" t="s">
        <v>350</v>
      </c>
      <c r="O913" t="s">
        <v>354</v>
      </c>
      <c r="P913" t="s">
        <v>361</v>
      </c>
      <c r="Q913">
        <v>462.59</v>
      </c>
      <c r="R913">
        <v>1</v>
      </c>
      <c r="S913">
        <v>-97.81</v>
      </c>
    </row>
    <row r="914" spans="1:19" x14ac:dyDescent="0.25">
      <c r="A914">
        <v>913</v>
      </c>
      <c r="B914" s="2">
        <v>44218</v>
      </c>
      <c r="C914">
        <v>2021</v>
      </c>
      <c r="D914" t="s">
        <v>23</v>
      </c>
      <c r="E914" s="2">
        <v>44222</v>
      </c>
      <c r="F914">
        <v>4</v>
      </c>
      <c r="G914" t="s">
        <v>31</v>
      </c>
      <c r="H914" t="s">
        <v>267</v>
      </c>
      <c r="I914" t="s">
        <v>324</v>
      </c>
      <c r="J914" t="s">
        <v>327</v>
      </c>
      <c r="K914" t="s">
        <v>330</v>
      </c>
      <c r="L914" t="s">
        <v>339</v>
      </c>
      <c r="M914" t="s">
        <v>346</v>
      </c>
      <c r="N914" t="s">
        <v>351</v>
      </c>
      <c r="O914" t="s">
        <v>356</v>
      </c>
      <c r="P914" t="s">
        <v>362</v>
      </c>
      <c r="Q914">
        <v>162.87</v>
      </c>
      <c r="R914">
        <v>3</v>
      </c>
      <c r="S914">
        <v>79.55</v>
      </c>
    </row>
    <row r="915" spans="1:19" x14ac:dyDescent="0.25">
      <c r="A915">
        <v>914</v>
      </c>
      <c r="B915" s="2">
        <v>45699</v>
      </c>
      <c r="C915">
        <v>2025</v>
      </c>
      <c r="D915" t="s">
        <v>28</v>
      </c>
      <c r="E915" s="2">
        <v>45705</v>
      </c>
      <c r="F915">
        <v>6</v>
      </c>
      <c r="G915" t="s">
        <v>33</v>
      </c>
      <c r="H915" t="s">
        <v>277</v>
      </c>
      <c r="I915" t="s">
        <v>324</v>
      </c>
      <c r="J915" t="s">
        <v>327</v>
      </c>
      <c r="K915" t="s">
        <v>334</v>
      </c>
      <c r="L915" t="s">
        <v>334</v>
      </c>
      <c r="M915" t="s">
        <v>349</v>
      </c>
      <c r="N915" t="s">
        <v>350</v>
      </c>
      <c r="O915" t="s">
        <v>354</v>
      </c>
      <c r="P915" t="s">
        <v>360</v>
      </c>
      <c r="Q915">
        <v>194.47</v>
      </c>
      <c r="R915">
        <v>9</v>
      </c>
      <c r="S915">
        <v>-13.88</v>
      </c>
    </row>
    <row r="916" spans="1:19" x14ac:dyDescent="0.25">
      <c r="A916">
        <v>915</v>
      </c>
      <c r="B916" s="2">
        <v>43928</v>
      </c>
      <c r="C916">
        <v>2020</v>
      </c>
      <c r="D916" t="s">
        <v>26</v>
      </c>
      <c r="E916" s="2">
        <v>43931</v>
      </c>
      <c r="F916">
        <v>3</v>
      </c>
      <c r="G916" t="s">
        <v>33</v>
      </c>
      <c r="H916" t="s">
        <v>252</v>
      </c>
      <c r="I916" t="s">
        <v>324</v>
      </c>
      <c r="J916" t="s">
        <v>327</v>
      </c>
      <c r="K916" t="s">
        <v>330</v>
      </c>
      <c r="L916" t="s">
        <v>339</v>
      </c>
      <c r="M916" t="s">
        <v>346</v>
      </c>
      <c r="N916" t="s">
        <v>352</v>
      </c>
      <c r="O916" t="s">
        <v>358</v>
      </c>
      <c r="P916" t="s">
        <v>361</v>
      </c>
      <c r="Q916">
        <v>419.7</v>
      </c>
      <c r="R916">
        <v>7</v>
      </c>
      <c r="S916">
        <v>199.89</v>
      </c>
    </row>
    <row r="917" spans="1:19" x14ac:dyDescent="0.25">
      <c r="A917">
        <v>916</v>
      </c>
      <c r="B917" s="2">
        <v>45587</v>
      </c>
      <c r="C917">
        <v>2024</v>
      </c>
      <c r="D917" t="s">
        <v>22</v>
      </c>
      <c r="E917" s="2">
        <v>45589</v>
      </c>
      <c r="F917">
        <v>2</v>
      </c>
      <c r="G917" t="s">
        <v>32</v>
      </c>
      <c r="H917" t="s">
        <v>223</v>
      </c>
      <c r="I917" t="s">
        <v>323</v>
      </c>
      <c r="J917" t="s">
        <v>327</v>
      </c>
      <c r="K917" t="s">
        <v>334</v>
      </c>
      <c r="L917" t="s">
        <v>334</v>
      </c>
      <c r="M917" t="s">
        <v>349</v>
      </c>
      <c r="N917" t="s">
        <v>351</v>
      </c>
      <c r="O917" t="s">
        <v>356</v>
      </c>
      <c r="P917" t="s">
        <v>360</v>
      </c>
      <c r="Q917">
        <v>307.73</v>
      </c>
      <c r="R917">
        <v>6</v>
      </c>
      <c r="S917">
        <v>144.1</v>
      </c>
    </row>
    <row r="918" spans="1:19" x14ac:dyDescent="0.25">
      <c r="A918">
        <v>917</v>
      </c>
      <c r="B918" s="2">
        <v>44106</v>
      </c>
      <c r="C918">
        <v>2020</v>
      </c>
      <c r="D918" t="s">
        <v>22</v>
      </c>
      <c r="E918" s="2">
        <v>44110</v>
      </c>
      <c r="F918">
        <v>4</v>
      </c>
      <c r="G918" t="s">
        <v>32</v>
      </c>
      <c r="H918" t="s">
        <v>218</v>
      </c>
      <c r="I918" t="s">
        <v>324</v>
      </c>
      <c r="J918" t="s">
        <v>328</v>
      </c>
      <c r="K918" t="s">
        <v>336</v>
      </c>
      <c r="L918" t="s">
        <v>343</v>
      </c>
      <c r="M918" t="s">
        <v>347</v>
      </c>
      <c r="N918" t="s">
        <v>350</v>
      </c>
      <c r="O918" t="s">
        <v>354</v>
      </c>
      <c r="P918" t="s">
        <v>359</v>
      </c>
      <c r="Q918">
        <v>151.27000000000001</v>
      </c>
      <c r="R918">
        <v>4</v>
      </c>
      <c r="S918">
        <v>36.409999999999997</v>
      </c>
    </row>
    <row r="919" spans="1:19" x14ac:dyDescent="0.25">
      <c r="A919">
        <v>918</v>
      </c>
      <c r="B919" s="2">
        <v>44888</v>
      </c>
      <c r="C919">
        <v>2022</v>
      </c>
      <c r="D919" t="s">
        <v>30</v>
      </c>
      <c r="E919" s="2">
        <v>44898</v>
      </c>
      <c r="F919">
        <v>10</v>
      </c>
      <c r="G919" t="s">
        <v>32</v>
      </c>
      <c r="H919" t="s">
        <v>304</v>
      </c>
      <c r="I919" t="s">
        <v>325</v>
      </c>
      <c r="J919" t="s">
        <v>328</v>
      </c>
      <c r="K919" t="s">
        <v>336</v>
      </c>
      <c r="L919" t="s">
        <v>343</v>
      </c>
      <c r="M919" t="s">
        <v>347</v>
      </c>
      <c r="N919" t="s">
        <v>351</v>
      </c>
      <c r="O919" t="s">
        <v>355</v>
      </c>
      <c r="P919" t="s">
        <v>359</v>
      </c>
      <c r="Q919">
        <v>191.02</v>
      </c>
      <c r="R919">
        <v>7</v>
      </c>
      <c r="S919">
        <v>64.16</v>
      </c>
    </row>
    <row r="920" spans="1:19" x14ac:dyDescent="0.25">
      <c r="A920">
        <v>919</v>
      </c>
      <c r="B920" s="2">
        <v>43839</v>
      </c>
      <c r="C920">
        <v>2020</v>
      </c>
      <c r="D920" t="s">
        <v>23</v>
      </c>
      <c r="E920" s="2">
        <v>43845</v>
      </c>
      <c r="F920">
        <v>6</v>
      </c>
      <c r="G920" t="s">
        <v>32</v>
      </c>
      <c r="H920" t="s">
        <v>142</v>
      </c>
      <c r="I920" t="s">
        <v>325</v>
      </c>
      <c r="J920" t="s">
        <v>327</v>
      </c>
      <c r="K920" t="s">
        <v>330</v>
      </c>
      <c r="L920" t="s">
        <v>339</v>
      </c>
      <c r="M920" t="s">
        <v>346</v>
      </c>
      <c r="N920" t="s">
        <v>352</v>
      </c>
      <c r="O920" t="s">
        <v>357</v>
      </c>
      <c r="P920" t="s">
        <v>362</v>
      </c>
      <c r="Q920">
        <v>404.98</v>
      </c>
      <c r="R920">
        <v>3</v>
      </c>
      <c r="S920">
        <v>-107.58</v>
      </c>
    </row>
    <row r="921" spans="1:19" x14ac:dyDescent="0.25">
      <c r="A921">
        <v>920</v>
      </c>
      <c r="B921" s="2">
        <v>45776</v>
      </c>
      <c r="C921">
        <v>2025</v>
      </c>
      <c r="D921" t="s">
        <v>26</v>
      </c>
      <c r="E921" s="2">
        <v>45781</v>
      </c>
      <c r="F921">
        <v>5</v>
      </c>
      <c r="G921" t="s">
        <v>34</v>
      </c>
      <c r="H921" t="s">
        <v>222</v>
      </c>
      <c r="I921" t="s">
        <v>323</v>
      </c>
      <c r="J921" t="s">
        <v>327</v>
      </c>
      <c r="K921" t="s">
        <v>337</v>
      </c>
      <c r="L921" t="s">
        <v>344</v>
      </c>
      <c r="M921" t="s">
        <v>347</v>
      </c>
      <c r="N921" t="s">
        <v>351</v>
      </c>
      <c r="O921" t="s">
        <v>355</v>
      </c>
      <c r="P921" t="s">
        <v>361</v>
      </c>
      <c r="Q921">
        <v>400.56</v>
      </c>
      <c r="R921">
        <v>1</v>
      </c>
      <c r="S921">
        <v>-18.46</v>
      </c>
    </row>
    <row r="922" spans="1:19" x14ac:dyDescent="0.25">
      <c r="A922">
        <v>921</v>
      </c>
      <c r="B922" s="2">
        <v>45021</v>
      </c>
      <c r="C922">
        <v>2023</v>
      </c>
      <c r="D922" t="s">
        <v>26</v>
      </c>
      <c r="E922" s="2">
        <v>45028</v>
      </c>
      <c r="F922">
        <v>7</v>
      </c>
      <c r="G922" t="s">
        <v>31</v>
      </c>
      <c r="H922" t="s">
        <v>51</v>
      </c>
      <c r="I922" t="s">
        <v>323</v>
      </c>
      <c r="J922" t="s">
        <v>326</v>
      </c>
      <c r="K922" t="s">
        <v>331</v>
      </c>
      <c r="L922" t="s">
        <v>340</v>
      </c>
      <c r="M922" t="s">
        <v>347</v>
      </c>
      <c r="N922" t="s">
        <v>351</v>
      </c>
      <c r="O922" t="s">
        <v>356</v>
      </c>
      <c r="P922" t="s">
        <v>359</v>
      </c>
      <c r="Q922">
        <v>66.84</v>
      </c>
      <c r="R922">
        <v>5</v>
      </c>
      <c r="S922">
        <v>6.76</v>
      </c>
    </row>
    <row r="923" spans="1:19" x14ac:dyDescent="0.25">
      <c r="A923">
        <v>922</v>
      </c>
      <c r="B923" s="2">
        <v>45675</v>
      </c>
      <c r="C923">
        <v>2025</v>
      </c>
      <c r="D923" t="s">
        <v>23</v>
      </c>
      <c r="E923" s="2">
        <v>45680</v>
      </c>
      <c r="F923">
        <v>5</v>
      </c>
      <c r="G923" t="s">
        <v>34</v>
      </c>
      <c r="H923" t="s">
        <v>231</v>
      </c>
      <c r="I923" t="s">
        <v>324</v>
      </c>
      <c r="J923" t="s">
        <v>326</v>
      </c>
      <c r="K923" t="s">
        <v>333</v>
      </c>
      <c r="L923" t="s">
        <v>342</v>
      </c>
      <c r="M923" t="s">
        <v>345</v>
      </c>
      <c r="N923" t="s">
        <v>352</v>
      </c>
      <c r="O923" t="s">
        <v>357</v>
      </c>
      <c r="P923" t="s">
        <v>361</v>
      </c>
      <c r="Q923">
        <v>247.03</v>
      </c>
      <c r="R923">
        <v>6</v>
      </c>
      <c r="S923">
        <v>49.71</v>
      </c>
    </row>
    <row r="924" spans="1:19" x14ac:dyDescent="0.25">
      <c r="A924">
        <v>923</v>
      </c>
      <c r="B924" s="2">
        <v>44449</v>
      </c>
      <c r="C924">
        <v>2021</v>
      </c>
      <c r="D924" t="s">
        <v>25</v>
      </c>
      <c r="E924" s="2">
        <v>44453</v>
      </c>
      <c r="F924">
        <v>4</v>
      </c>
      <c r="G924" t="s">
        <v>32</v>
      </c>
      <c r="H924" t="s">
        <v>316</v>
      </c>
      <c r="I924" t="s">
        <v>323</v>
      </c>
      <c r="J924" t="s">
        <v>327</v>
      </c>
      <c r="K924" t="s">
        <v>334</v>
      </c>
      <c r="L924" t="s">
        <v>334</v>
      </c>
      <c r="M924" t="s">
        <v>349</v>
      </c>
      <c r="N924" t="s">
        <v>351</v>
      </c>
      <c r="O924" t="s">
        <v>356</v>
      </c>
      <c r="P924" t="s">
        <v>360</v>
      </c>
      <c r="Q924">
        <v>476.94</v>
      </c>
      <c r="R924">
        <v>1</v>
      </c>
      <c r="S924">
        <v>-0.75</v>
      </c>
    </row>
    <row r="925" spans="1:19" x14ac:dyDescent="0.25">
      <c r="A925">
        <v>924</v>
      </c>
      <c r="B925" s="2">
        <v>43970</v>
      </c>
      <c r="C925">
        <v>2020</v>
      </c>
      <c r="D925" t="s">
        <v>19</v>
      </c>
      <c r="E925" s="2">
        <v>43971</v>
      </c>
      <c r="F925">
        <v>1</v>
      </c>
      <c r="G925" t="s">
        <v>31</v>
      </c>
      <c r="H925" t="s">
        <v>149</v>
      </c>
      <c r="I925" t="s">
        <v>325</v>
      </c>
      <c r="J925" t="s">
        <v>328</v>
      </c>
      <c r="K925" t="s">
        <v>335</v>
      </c>
      <c r="L925" t="s">
        <v>335</v>
      </c>
      <c r="M925" t="s">
        <v>345</v>
      </c>
      <c r="N925" t="s">
        <v>351</v>
      </c>
      <c r="O925" t="s">
        <v>355</v>
      </c>
      <c r="P925" t="s">
        <v>359</v>
      </c>
      <c r="Q925">
        <v>215.33</v>
      </c>
      <c r="R925">
        <v>2</v>
      </c>
      <c r="S925">
        <v>-37.82</v>
      </c>
    </row>
    <row r="926" spans="1:19" x14ac:dyDescent="0.25">
      <c r="A926">
        <v>925</v>
      </c>
      <c r="B926" s="2">
        <v>45942</v>
      </c>
      <c r="C926">
        <v>2025</v>
      </c>
      <c r="D926" t="s">
        <v>22</v>
      </c>
      <c r="E926" s="2">
        <v>45947</v>
      </c>
      <c r="F926">
        <v>5</v>
      </c>
      <c r="G926" t="s">
        <v>32</v>
      </c>
      <c r="H926" t="s">
        <v>319</v>
      </c>
      <c r="I926" t="s">
        <v>324</v>
      </c>
      <c r="J926" t="s">
        <v>327</v>
      </c>
      <c r="K926" t="s">
        <v>337</v>
      </c>
      <c r="L926" t="s">
        <v>344</v>
      </c>
      <c r="M926" t="s">
        <v>347</v>
      </c>
      <c r="N926" t="s">
        <v>350</v>
      </c>
      <c r="O926" t="s">
        <v>353</v>
      </c>
      <c r="P926" t="s">
        <v>361</v>
      </c>
      <c r="Q926">
        <v>381.25</v>
      </c>
      <c r="R926">
        <v>3</v>
      </c>
      <c r="S926">
        <v>70.75</v>
      </c>
    </row>
    <row r="927" spans="1:19" x14ac:dyDescent="0.25">
      <c r="A927">
        <v>926</v>
      </c>
      <c r="B927" s="2">
        <v>44301</v>
      </c>
      <c r="C927">
        <v>2021</v>
      </c>
      <c r="D927" t="s">
        <v>26</v>
      </c>
      <c r="E927" s="2">
        <v>44307</v>
      </c>
      <c r="F927">
        <v>6</v>
      </c>
      <c r="G927" t="s">
        <v>31</v>
      </c>
      <c r="H927" t="s">
        <v>224</v>
      </c>
      <c r="I927" t="s">
        <v>325</v>
      </c>
      <c r="J927" t="s">
        <v>328</v>
      </c>
      <c r="K927" t="s">
        <v>332</v>
      </c>
      <c r="L927" t="s">
        <v>341</v>
      </c>
      <c r="M927" t="s">
        <v>348</v>
      </c>
      <c r="N927" t="s">
        <v>351</v>
      </c>
      <c r="O927" t="s">
        <v>355</v>
      </c>
      <c r="P927" t="s">
        <v>360</v>
      </c>
      <c r="Q927">
        <v>222.36</v>
      </c>
      <c r="R927">
        <v>10</v>
      </c>
      <c r="S927">
        <v>71.31</v>
      </c>
    </row>
    <row r="928" spans="1:19" x14ac:dyDescent="0.25">
      <c r="A928">
        <v>927</v>
      </c>
      <c r="B928" s="2">
        <v>45112</v>
      </c>
      <c r="C928">
        <v>2023</v>
      </c>
      <c r="D928" t="s">
        <v>20</v>
      </c>
      <c r="E928" s="2">
        <v>45115</v>
      </c>
      <c r="F928">
        <v>3</v>
      </c>
      <c r="G928" t="s">
        <v>32</v>
      </c>
      <c r="H928" t="s">
        <v>273</v>
      </c>
      <c r="I928" t="s">
        <v>325</v>
      </c>
      <c r="J928" t="s">
        <v>326</v>
      </c>
      <c r="K928" t="s">
        <v>333</v>
      </c>
      <c r="L928" t="s">
        <v>342</v>
      </c>
      <c r="M928" t="s">
        <v>345</v>
      </c>
      <c r="N928" t="s">
        <v>351</v>
      </c>
      <c r="O928" t="s">
        <v>356</v>
      </c>
      <c r="P928" t="s">
        <v>359</v>
      </c>
      <c r="Q928">
        <v>103.49</v>
      </c>
      <c r="R928">
        <v>5</v>
      </c>
      <c r="S928">
        <v>-4.8899999999999997</v>
      </c>
    </row>
    <row r="929" spans="1:19" x14ac:dyDescent="0.25">
      <c r="A929">
        <v>928</v>
      </c>
      <c r="B929" s="2">
        <v>45382</v>
      </c>
      <c r="C929">
        <v>2024</v>
      </c>
      <c r="D929" t="s">
        <v>24</v>
      </c>
      <c r="E929" s="2">
        <v>45385</v>
      </c>
      <c r="F929">
        <v>3</v>
      </c>
      <c r="G929" t="s">
        <v>32</v>
      </c>
      <c r="H929" t="s">
        <v>95</v>
      </c>
      <c r="I929" t="s">
        <v>323</v>
      </c>
      <c r="J929" t="s">
        <v>327</v>
      </c>
      <c r="K929" t="s">
        <v>337</v>
      </c>
      <c r="L929" t="s">
        <v>344</v>
      </c>
      <c r="M929" t="s">
        <v>347</v>
      </c>
      <c r="N929" t="s">
        <v>352</v>
      </c>
      <c r="O929" t="s">
        <v>358</v>
      </c>
      <c r="P929" t="s">
        <v>361</v>
      </c>
      <c r="Q929">
        <v>327.87</v>
      </c>
      <c r="R929">
        <v>7</v>
      </c>
      <c r="S929">
        <v>106.96</v>
      </c>
    </row>
    <row r="930" spans="1:19" x14ac:dyDescent="0.25">
      <c r="A930">
        <v>929</v>
      </c>
      <c r="B930" s="2">
        <v>44441</v>
      </c>
      <c r="C930">
        <v>2021</v>
      </c>
      <c r="D930" t="s">
        <v>25</v>
      </c>
      <c r="E930" s="2">
        <v>44447</v>
      </c>
      <c r="F930">
        <v>6</v>
      </c>
      <c r="G930" t="s">
        <v>31</v>
      </c>
      <c r="H930" t="s">
        <v>194</v>
      </c>
      <c r="I930" t="s">
        <v>325</v>
      </c>
      <c r="J930" t="s">
        <v>326</v>
      </c>
      <c r="K930" t="s">
        <v>333</v>
      </c>
      <c r="L930" t="s">
        <v>342</v>
      </c>
      <c r="M930" t="s">
        <v>345</v>
      </c>
      <c r="N930" t="s">
        <v>352</v>
      </c>
      <c r="O930" t="s">
        <v>357</v>
      </c>
      <c r="P930" t="s">
        <v>362</v>
      </c>
      <c r="Q930">
        <v>103.79</v>
      </c>
      <c r="R930">
        <v>7</v>
      </c>
      <c r="S930">
        <v>32.24</v>
      </c>
    </row>
    <row r="931" spans="1:19" x14ac:dyDescent="0.25">
      <c r="A931">
        <v>930</v>
      </c>
      <c r="B931" s="2">
        <v>44268</v>
      </c>
      <c r="C931">
        <v>2021</v>
      </c>
      <c r="D931" t="s">
        <v>24</v>
      </c>
      <c r="E931" s="2">
        <v>44271</v>
      </c>
      <c r="F931">
        <v>3</v>
      </c>
      <c r="G931" t="s">
        <v>33</v>
      </c>
      <c r="H931" t="s">
        <v>108</v>
      </c>
      <c r="I931" t="s">
        <v>323</v>
      </c>
      <c r="J931" t="s">
        <v>327</v>
      </c>
      <c r="K931" t="s">
        <v>330</v>
      </c>
      <c r="L931" t="s">
        <v>339</v>
      </c>
      <c r="M931" t="s">
        <v>346</v>
      </c>
      <c r="N931" t="s">
        <v>351</v>
      </c>
      <c r="O931" t="s">
        <v>356</v>
      </c>
      <c r="P931" t="s">
        <v>362</v>
      </c>
      <c r="Q931">
        <v>491.9</v>
      </c>
      <c r="R931">
        <v>10</v>
      </c>
      <c r="S931">
        <v>-39.25</v>
      </c>
    </row>
    <row r="932" spans="1:19" x14ac:dyDescent="0.25">
      <c r="A932">
        <v>931</v>
      </c>
      <c r="B932" s="2">
        <v>44851</v>
      </c>
      <c r="C932">
        <v>2022</v>
      </c>
      <c r="D932" t="s">
        <v>22</v>
      </c>
      <c r="E932" s="2">
        <v>44860</v>
      </c>
      <c r="F932">
        <v>9</v>
      </c>
      <c r="G932" t="s">
        <v>32</v>
      </c>
      <c r="H932" t="s">
        <v>91</v>
      </c>
      <c r="I932" t="s">
        <v>323</v>
      </c>
      <c r="J932" t="s">
        <v>327</v>
      </c>
      <c r="K932" t="s">
        <v>337</v>
      </c>
      <c r="L932" t="s">
        <v>344</v>
      </c>
      <c r="M932" t="s">
        <v>347</v>
      </c>
      <c r="N932" t="s">
        <v>350</v>
      </c>
      <c r="O932" t="s">
        <v>354</v>
      </c>
      <c r="P932" t="s">
        <v>361</v>
      </c>
      <c r="Q932">
        <v>349.64</v>
      </c>
      <c r="R932">
        <v>6</v>
      </c>
      <c r="S932">
        <v>171.31</v>
      </c>
    </row>
    <row r="933" spans="1:19" x14ac:dyDescent="0.25">
      <c r="A933">
        <v>932</v>
      </c>
      <c r="B933" s="2">
        <v>45445</v>
      </c>
      <c r="C933">
        <v>2024</v>
      </c>
      <c r="D933" t="s">
        <v>21</v>
      </c>
      <c r="E933" s="2">
        <v>45447</v>
      </c>
      <c r="F933">
        <v>2</v>
      </c>
      <c r="G933" t="s">
        <v>31</v>
      </c>
      <c r="H933" t="s">
        <v>66</v>
      </c>
      <c r="I933" t="s">
        <v>323</v>
      </c>
      <c r="J933" t="s">
        <v>328</v>
      </c>
      <c r="K933" t="s">
        <v>335</v>
      </c>
      <c r="L933" t="s">
        <v>335</v>
      </c>
      <c r="M933" t="s">
        <v>345</v>
      </c>
      <c r="N933" t="s">
        <v>352</v>
      </c>
      <c r="O933" t="s">
        <v>357</v>
      </c>
      <c r="P933" t="s">
        <v>359</v>
      </c>
      <c r="Q933">
        <v>149.37</v>
      </c>
      <c r="R933">
        <v>7</v>
      </c>
      <c r="S933">
        <v>55.69</v>
      </c>
    </row>
    <row r="934" spans="1:19" x14ac:dyDescent="0.25">
      <c r="A934">
        <v>933</v>
      </c>
      <c r="B934" s="2">
        <v>44323</v>
      </c>
      <c r="C934">
        <v>2021</v>
      </c>
      <c r="D934" t="s">
        <v>19</v>
      </c>
      <c r="E934" s="2">
        <v>44326</v>
      </c>
      <c r="F934">
        <v>3</v>
      </c>
      <c r="G934" t="s">
        <v>32</v>
      </c>
      <c r="H934" t="s">
        <v>52</v>
      </c>
      <c r="I934" t="s">
        <v>325</v>
      </c>
      <c r="J934" t="s">
        <v>326</v>
      </c>
      <c r="K934" t="s">
        <v>329</v>
      </c>
      <c r="L934" t="s">
        <v>338</v>
      </c>
      <c r="M934" t="s">
        <v>345</v>
      </c>
      <c r="N934" t="s">
        <v>352</v>
      </c>
      <c r="O934" t="s">
        <v>357</v>
      </c>
      <c r="P934" t="s">
        <v>359</v>
      </c>
      <c r="Q934">
        <v>190.6</v>
      </c>
      <c r="R934">
        <v>9</v>
      </c>
      <c r="S934">
        <v>5.73</v>
      </c>
    </row>
    <row r="935" spans="1:19" x14ac:dyDescent="0.25">
      <c r="A935">
        <v>934</v>
      </c>
      <c r="B935" s="2">
        <v>45016</v>
      </c>
      <c r="C935">
        <v>2023</v>
      </c>
      <c r="D935" t="s">
        <v>24</v>
      </c>
      <c r="E935" s="2">
        <v>45021</v>
      </c>
      <c r="F935">
        <v>5</v>
      </c>
      <c r="G935" t="s">
        <v>34</v>
      </c>
      <c r="H935" t="s">
        <v>316</v>
      </c>
      <c r="I935" t="s">
        <v>324</v>
      </c>
      <c r="J935" t="s">
        <v>327</v>
      </c>
      <c r="K935" t="s">
        <v>330</v>
      </c>
      <c r="L935" t="s">
        <v>339</v>
      </c>
      <c r="M935" t="s">
        <v>346</v>
      </c>
      <c r="N935" t="s">
        <v>352</v>
      </c>
      <c r="O935" t="s">
        <v>358</v>
      </c>
      <c r="P935" t="s">
        <v>362</v>
      </c>
      <c r="Q935">
        <v>207.43</v>
      </c>
      <c r="R935">
        <v>4</v>
      </c>
      <c r="S935">
        <v>-53.29</v>
      </c>
    </row>
    <row r="936" spans="1:19" x14ac:dyDescent="0.25">
      <c r="A936">
        <v>935</v>
      </c>
      <c r="B936" s="2">
        <v>44636</v>
      </c>
      <c r="C936">
        <v>2022</v>
      </c>
      <c r="D936" t="s">
        <v>24</v>
      </c>
      <c r="E936" s="2">
        <v>44639</v>
      </c>
      <c r="F936">
        <v>3</v>
      </c>
      <c r="G936" t="s">
        <v>31</v>
      </c>
      <c r="H936" t="s">
        <v>37</v>
      </c>
      <c r="I936" t="s">
        <v>324</v>
      </c>
      <c r="J936" t="s">
        <v>326</v>
      </c>
      <c r="K936" t="s">
        <v>331</v>
      </c>
      <c r="L936" t="s">
        <v>340</v>
      </c>
      <c r="M936" t="s">
        <v>347</v>
      </c>
      <c r="N936" t="s">
        <v>351</v>
      </c>
      <c r="O936" t="s">
        <v>355</v>
      </c>
      <c r="P936" t="s">
        <v>361</v>
      </c>
      <c r="Q936">
        <v>157.96</v>
      </c>
      <c r="R936">
        <v>10</v>
      </c>
      <c r="S936">
        <v>30.44</v>
      </c>
    </row>
    <row r="937" spans="1:19" x14ac:dyDescent="0.25">
      <c r="A937">
        <v>936</v>
      </c>
      <c r="B937" s="2">
        <v>45713</v>
      </c>
      <c r="C937">
        <v>2025</v>
      </c>
      <c r="D937" t="s">
        <v>28</v>
      </c>
      <c r="E937" s="2">
        <v>45716</v>
      </c>
      <c r="F937">
        <v>3</v>
      </c>
      <c r="G937" t="s">
        <v>31</v>
      </c>
      <c r="H937" t="s">
        <v>227</v>
      </c>
      <c r="I937" t="s">
        <v>325</v>
      </c>
      <c r="J937" t="s">
        <v>328</v>
      </c>
      <c r="K937" t="s">
        <v>336</v>
      </c>
      <c r="L937" t="s">
        <v>343</v>
      </c>
      <c r="M937" t="s">
        <v>347</v>
      </c>
      <c r="N937" t="s">
        <v>350</v>
      </c>
      <c r="O937" t="s">
        <v>354</v>
      </c>
      <c r="P937" t="s">
        <v>362</v>
      </c>
      <c r="Q937">
        <v>31.66</v>
      </c>
      <c r="R937">
        <v>4</v>
      </c>
      <c r="S937">
        <v>0.84</v>
      </c>
    </row>
    <row r="938" spans="1:19" x14ac:dyDescent="0.25">
      <c r="A938">
        <v>937</v>
      </c>
      <c r="B938" s="2">
        <v>45060</v>
      </c>
      <c r="C938">
        <v>2023</v>
      </c>
      <c r="D938" t="s">
        <v>19</v>
      </c>
      <c r="E938" s="2">
        <v>45063</v>
      </c>
      <c r="F938">
        <v>3</v>
      </c>
      <c r="G938" t="s">
        <v>34</v>
      </c>
      <c r="H938" t="s">
        <v>168</v>
      </c>
      <c r="I938" t="s">
        <v>324</v>
      </c>
      <c r="J938" t="s">
        <v>327</v>
      </c>
      <c r="K938" t="s">
        <v>337</v>
      </c>
      <c r="L938" t="s">
        <v>344</v>
      </c>
      <c r="M938" t="s">
        <v>347</v>
      </c>
      <c r="N938" t="s">
        <v>350</v>
      </c>
      <c r="O938" t="s">
        <v>353</v>
      </c>
      <c r="P938" t="s">
        <v>362</v>
      </c>
      <c r="Q938">
        <v>350.62</v>
      </c>
      <c r="R938">
        <v>2</v>
      </c>
      <c r="S938">
        <v>-34.72</v>
      </c>
    </row>
    <row r="939" spans="1:19" x14ac:dyDescent="0.25">
      <c r="A939">
        <v>938</v>
      </c>
      <c r="B939" s="2">
        <v>44668</v>
      </c>
      <c r="C939">
        <v>2022</v>
      </c>
      <c r="D939" t="s">
        <v>26</v>
      </c>
      <c r="E939" s="2">
        <v>44673</v>
      </c>
      <c r="F939">
        <v>5</v>
      </c>
      <c r="G939" t="s">
        <v>33</v>
      </c>
      <c r="H939" t="s">
        <v>135</v>
      </c>
      <c r="I939" t="s">
        <v>324</v>
      </c>
      <c r="J939" t="s">
        <v>326</v>
      </c>
      <c r="K939" t="s">
        <v>331</v>
      </c>
      <c r="L939" t="s">
        <v>340</v>
      </c>
      <c r="M939" t="s">
        <v>347</v>
      </c>
      <c r="N939" t="s">
        <v>352</v>
      </c>
      <c r="O939" t="s">
        <v>358</v>
      </c>
      <c r="P939" t="s">
        <v>361</v>
      </c>
      <c r="Q939">
        <v>232.9</v>
      </c>
      <c r="R939">
        <v>3</v>
      </c>
      <c r="S939">
        <v>-65.900000000000006</v>
      </c>
    </row>
    <row r="940" spans="1:19" x14ac:dyDescent="0.25">
      <c r="A940">
        <v>939</v>
      </c>
      <c r="B940" s="2">
        <v>44206</v>
      </c>
      <c r="C940">
        <v>2021</v>
      </c>
      <c r="D940" t="s">
        <v>23</v>
      </c>
      <c r="E940" s="2">
        <v>44209</v>
      </c>
      <c r="F940">
        <v>3</v>
      </c>
      <c r="G940" t="s">
        <v>34</v>
      </c>
      <c r="H940" t="s">
        <v>202</v>
      </c>
      <c r="I940" t="s">
        <v>324</v>
      </c>
      <c r="J940" t="s">
        <v>327</v>
      </c>
      <c r="K940" t="s">
        <v>330</v>
      </c>
      <c r="L940" t="s">
        <v>339</v>
      </c>
      <c r="M940" t="s">
        <v>346</v>
      </c>
      <c r="N940" t="s">
        <v>350</v>
      </c>
      <c r="O940" t="s">
        <v>354</v>
      </c>
      <c r="P940" t="s">
        <v>361</v>
      </c>
      <c r="Q940">
        <v>405.56</v>
      </c>
      <c r="R940">
        <v>7</v>
      </c>
      <c r="S940">
        <v>-27.89</v>
      </c>
    </row>
    <row r="941" spans="1:19" x14ac:dyDescent="0.25">
      <c r="A941">
        <v>940</v>
      </c>
      <c r="B941" s="2">
        <v>44856</v>
      </c>
      <c r="C941">
        <v>2022</v>
      </c>
      <c r="D941" t="s">
        <v>22</v>
      </c>
      <c r="E941" s="2">
        <v>44858</v>
      </c>
      <c r="F941">
        <v>2</v>
      </c>
      <c r="G941" t="s">
        <v>33</v>
      </c>
      <c r="H941" t="s">
        <v>54</v>
      </c>
      <c r="I941" t="s">
        <v>325</v>
      </c>
      <c r="J941" t="s">
        <v>328</v>
      </c>
      <c r="K941" t="s">
        <v>335</v>
      </c>
      <c r="L941" t="s">
        <v>335</v>
      </c>
      <c r="M941" t="s">
        <v>345</v>
      </c>
      <c r="N941" t="s">
        <v>351</v>
      </c>
      <c r="O941" t="s">
        <v>355</v>
      </c>
      <c r="P941" t="s">
        <v>360</v>
      </c>
      <c r="Q941">
        <v>275.67</v>
      </c>
      <c r="R941">
        <v>6</v>
      </c>
      <c r="S941">
        <v>125.64</v>
      </c>
    </row>
    <row r="942" spans="1:19" x14ac:dyDescent="0.25">
      <c r="A942">
        <v>941</v>
      </c>
      <c r="B942" s="2">
        <v>44620</v>
      </c>
      <c r="C942">
        <v>2022</v>
      </c>
      <c r="D942" t="s">
        <v>28</v>
      </c>
      <c r="E942" s="2">
        <v>44630</v>
      </c>
      <c r="F942">
        <v>10</v>
      </c>
      <c r="G942" t="s">
        <v>34</v>
      </c>
      <c r="H942" t="s">
        <v>321</v>
      </c>
      <c r="I942" t="s">
        <v>325</v>
      </c>
      <c r="J942" t="s">
        <v>328</v>
      </c>
      <c r="K942" t="s">
        <v>335</v>
      </c>
      <c r="L942" t="s">
        <v>335</v>
      </c>
      <c r="M942" t="s">
        <v>345</v>
      </c>
      <c r="N942" t="s">
        <v>350</v>
      </c>
      <c r="O942" t="s">
        <v>353</v>
      </c>
      <c r="P942" t="s">
        <v>362</v>
      </c>
      <c r="Q942">
        <v>360.94</v>
      </c>
      <c r="R942">
        <v>6</v>
      </c>
      <c r="S942">
        <v>53.32</v>
      </c>
    </row>
    <row r="943" spans="1:19" x14ac:dyDescent="0.25">
      <c r="A943">
        <v>942</v>
      </c>
      <c r="B943" s="2">
        <v>45839</v>
      </c>
      <c r="C943">
        <v>2025</v>
      </c>
      <c r="D943" t="s">
        <v>20</v>
      </c>
      <c r="E943" s="2">
        <v>45843</v>
      </c>
      <c r="F943">
        <v>4</v>
      </c>
      <c r="G943" t="s">
        <v>31</v>
      </c>
      <c r="H943" t="s">
        <v>228</v>
      </c>
      <c r="I943" t="s">
        <v>323</v>
      </c>
      <c r="J943" t="s">
        <v>327</v>
      </c>
      <c r="K943" t="s">
        <v>330</v>
      </c>
      <c r="L943" t="s">
        <v>339</v>
      </c>
      <c r="M943" t="s">
        <v>346</v>
      </c>
      <c r="N943" t="s">
        <v>352</v>
      </c>
      <c r="O943" t="s">
        <v>357</v>
      </c>
      <c r="P943" t="s">
        <v>361</v>
      </c>
      <c r="Q943">
        <v>128.56</v>
      </c>
      <c r="R943">
        <v>10</v>
      </c>
      <c r="S943">
        <v>55.98</v>
      </c>
    </row>
    <row r="944" spans="1:19" x14ac:dyDescent="0.25">
      <c r="A944">
        <v>943</v>
      </c>
      <c r="B944" s="2">
        <v>44634</v>
      </c>
      <c r="C944">
        <v>2022</v>
      </c>
      <c r="D944" t="s">
        <v>24</v>
      </c>
      <c r="E944" s="2">
        <v>44638</v>
      </c>
      <c r="F944">
        <v>4</v>
      </c>
      <c r="G944" t="s">
        <v>34</v>
      </c>
      <c r="H944" t="s">
        <v>155</v>
      </c>
      <c r="I944" t="s">
        <v>324</v>
      </c>
      <c r="J944" t="s">
        <v>328</v>
      </c>
      <c r="K944" t="s">
        <v>335</v>
      </c>
      <c r="L944" t="s">
        <v>335</v>
      </c>
      <c r="M944" t="s">
        <v>345</v>
      </c>
      <c r="N944" t="s">
        <v>350</v>
      </c>
      <c r="O944" t="s">
        <v>353</v>
      </c>
      <c r="P944" t="s">
        <v>360</v>
      </c>
      <c r="Q944">
        <v>273.16000000000003</v>
      </c>
      <c r="R944">
        <v>5</v>
      </c>
      <c r="S944">
        <v>6.27</v>
      </c>
    </row>
    <row r="945" spans="1:19" x14ac:dyDescent="0.25">
      <c r="A945">
        <v>944</v>
      </c>
      <c r="B945" s="2">
        <v>44802</v>
      </c>
      <c r="C945">
        <v>2022</v>
      </c>
      <c r="D945" t="s">
        <v>27</v>
      </c>
      <c r="E945" s="2">
        <v>44810</v>
      </c>
      <c r="F945">
        <v>8</v>
      </c>
      <c r="G945" t="s">
        <v>33</v>
      </c>
      <c r="H945" t="s">
        <v>225</v>
      </c>
      <c r="I945" t="s">
        <v>323</v>
      </c>
      <c r="J945" t="s">
        <v>326</v>
      </c>
      <c r="K945" t="s">
        <v>331</v>
      </c>
      <c r="L945" t="s">
        <v>340</v>
      </c>
      <c r="M945" t="s">
        <v>347</v>
      </c>
      <c r="N945" t="s">
        <v>350</v>
      </c>
      <c r="O945" t="s">
        <v>354</v>
      </c>
      <c r="P945" t="s">
        <v>362</v>
      </c>
      <c r="Q945">
        <v>382.96</v>
      </c>
      <c r="R945">
        <v>10</v>
      </c>
      <c r="S945">
        <v>69.989999999999995</v>
      </c>
    </row>
    <row r="946" spans="1:19" x14ac:dyDescent="0.25">
      <c r="A946">
        <v>945</v>
      </c>
      <c r="B946" s="2">
        <v>44195</v>
      </c>
      <c r="C946">
        <v>2020</v>
      </c>
      <c r="D946" t="s">
        <v>29</v>
      </c>
      <c r="E946" s="2">
        <v>44202</v>
      </c>
      <c r="F946">
        <v>7</v>
      </c>
      <c r="G946" t="s">
        <v>34</v>
      </c>
      <c r="H946" t="s">
        <v>180</v>
      </c>
      <c r="I946" t="s">
        <v>324</v>
      </c>
      <c r="J946" t="s">
        <v>326</v>
      </c>
      <c r="K946" t="s">
        <v>329</v>
      </c>
      <c r="L946" t="s">
        <v>338</v>
      </c>
      <c r="M946" t="s">
        <v>345</v>
      </c>
      <c r="N946" t="s">
        <v>350</v>
      </c>
      <c r="O946" t="s">
        <v>353</v>
      </c>
      <c r="P946" t="s">
        <v>359</v>
      </c>
      <c r="Q946">
        <v>237.35</v>
      </c>
      <c r="R946">
        <v>2</v>
      </c>
      <c r="S946">
        <v>60.2</v>
      </c>
    </row>
    <row r="947" spans="1:19" x14ac:dyDescent="0.25">
      <c r="A947">
        <v>946</v>
      </c>
      <c r="B947" s="2">
        <v>44252</v>
      </c>
      <c r="C947">
        <v>2021</v>
      </c>
      <c r="D947" t="s">
        <v>28</v>
      </c>
      <c r="E947" s="2">
        <v>44259</v>
      </c>
      <c r="F947">
        <v>7</v>
      </c>
      <c r="G947" t="s">
        <v>31</v>
      </c>
      <c r="H947" t="s">
        <v>134</v>
      </c>
      <c r="I947" t="s">
        <v>325</v>
      </c>
      <c r="J947" t="s">
        <v>328</v>
      </c>
      <c r="K947" t="s">
        <v>335</v>
      </c>
      <c r="L947" t="s">
        <v>335</v>
      </c>
      <c r="M947" t="s">
        <v>345</v>
      </c>
      <c r="N947" t="s">
        <v>352</v>
      </c>
      <c r="O947" t="s">
        <v>357</v>
      </c>
      <c r="P947" t="s">
        <v>359</v>
      </c>
      <c r="Q947">
        <v>353.36</v>
      </c>
      <c r="R947">
        <v>3</v>
      </c>
      <c r="S947">
        <v>126.59</v>
      </c>
    </row>
    <row r="948" spans="1:19" x14ac:dyDescent="0.25">
      <c r="A948">
        <v>947</v>
      </c>
      <c r="B948" s="2">
        <v>45580</v>
      </c>
      <c r="C948">
        <v>2024</v>
      </c>
      <c r="D948" t="s">
        <v>22</v>
      </c>
      <c r="E948" s="2">
        <v>45590</v>
      </c>
      <c r="F948">
        <v>10</v>
      </c>
      <c r="G948" t="s">
        <v>33</v>
      </c>
      <c r="H948" t="s">
        <v>41</v>
      </c>
      <c r="I948" t="s">
        <v>324</v>
      </c>
      <c r="J948" t="s">
        <v>328</v>
      </c>
      <c r="K948" t="s">
        <v>336</v>
      </c>
      <c r="L948" t="s">
        <v>343</v>
      </c>
      <c r="M948" t="s">
        <v>347</v>
      </c>
      <c r="N948" t="s">
        <v>350</v>
      </c>
      <c r="O948" t="s">
        <v>353</v>
      </c>
      <c r="P948" t="s">
        <v>362</v>
      </c>
      <c r="Q948">
        <v>379.24</v>
      </c>
      <c r="R948">
        <v>1</v>
      </c>
      <c r="S948">
        <v>-85.62</v>
      </c>
    </row>
    <row r="949" spans="1:19" x14ac:dyDescent="0.25">
      <c r="A949">
        <v>948</v>
      </c>
      <c r="B949" s="2">
        <v>45302</v>
      </c>
      <c r="C949">
        <v>2024</v>
      </c>
      <c r="D949" t="s">
        <v>23</v>
      </c>
      <c r="E949" s="2">
        <v>45309</v>
      </c>
      <c r="F949">
        <v>7</v>
      </c>
      <c r="G949" t="s">
        <v>32</v>
      </c>
      <c r="H949" t="s">
        <v>214</v>
      </c>
      <c r="I949" t="s">
        <v>324</v>
      </c>
      <c r="J949" t="s">
        <v>326</v>
      </c>
      <c r="K949" t="s">
        <v>329</v>
      </c>
      <c r="L949" t="s">
        <v>338</v>
      </c>
      <c r="M949" t="s">
        <v>345</v>
      </c>
      <c r="N949" t="s">
        <v>350</v>
      </c>
      <c r="O949" t="s">
        <v>353</v>
      </c>
      <c r="P949" t="s">
        <v>360</v>
      </c>
      <c r="Q949">
        <v>399.53</v>
      </c>
      <c r="R949">
        <v>1</v>
      </c>
      <c r="S949">
        <v>-114.13</v>
      </c>
    </row>
    <row r="950" spans="1:19" x14ac:dyDescent="0.25">
      <c r="A950">
        <v>949</v>
      </c>
      <c r="B950" s="2">
        <v>44636</v>
      </c>
      <c r="C950">
        <v>2022</v>
      </c>
      <c r="D950" t="s">
        <v>24</v>
      </c>
      <c r="E950" s="2">
        <v>44643</v>
      </c>
      <c r="F950">
        <v>7</v>
      </c>
      <c r="G950" t="s">
        <v>34</v>
      </c>
      <c r="H950" t="s">
        <v>89</v>
      </c>
      <c r="I950" t="s">
        <v>323</v>
      </c>
      <c r="J950" t="s">
        <v>328</v>
      </c>
      <c r="K950" t="s">
        <v>336</v>
      </c>
      <c r="L950" t="s">
        <v>343</v>
      </c>
      <c r="M950" t="s">
        <v>347</v>
      </c>
      <c r="N950" t="s">
        <v>352</v>
      </c>
      <c r="O950" t="s">
        <v>357</v>
      </c>
      <c r="P950" t="s">
        <v>361</v>
      </c>
      <c r="Q950">
        <v>331.05</v>
      </c>
      <c r="R950">
        <v>1</v>
      </c>
      <c r="S950">
        <v>71</v>
      </c>
    </row>
    <row r="951" spans="1:19" x14ac:dyDescent="0.25">
      <c r="A951">
        <v>950</v>
      </c>
      <c r="B951" s="2">
        <v>45262</v>
      </c>
      <c r="C951">
        <v>2023</v>
      </c>
      <c r="D951" t="s">
        <v>29</v>
      </c>
      <c r="E951" s="2">
        <v>45267</v>
      </c>
      <c r="F951">
        <v>5</v>
      </c>
      <c r="G951" t="s">
        <v>31</v>
      </c>
      <c r="H951" t="s">
        <v>180</v>
      </c>
      <c r="I951" t="s">
        <v>325</v>
      </c>
      <c r="J951" t="s">
        <v>326</v>
      </c>
      <c r="K951" t="s">
        <v>333</v>
      </c>
      <c r="L951" t="s">
        <v>342</v>
      </c>
      <c r="M951" t="s">
        <v>345</v>
      </c>
      <c r="N951" t="s">
        <v>352</v>
      </c>
      <c r="O951" t="s">
        <v>358</v>
      </c>
      <c r="P951" t="s">
        <v>359</v>
      </c>
      <c r="Q951">
        <v>62.05</v>
      </c>
      <c r="R951">
        <v>6</v>
      </c>
      <c r="S951">
        <v>-16.7</v>
      </c>
    </row>
    <row r="952" spans="1:19" x14ac:dyDescent="0.25">
      <c r="A952">
        <v>951</v>
      </c>
      <c r="B952" s="2">
        <v>44441</v>
      </c>
      <c r="C952">
        <v>2021</v>
      </c>
      <c r="D952" t="s">
        <v>25</v>
      </c>
      <c r="E952" s="2">
        <v>44444</v>
      </c>
      <c r="F952">
        <v>3</v>
      </c>
      <c r="G952" t="s">
        <v>33</v>
      </c>
      <c r="H952" t="s">
        <v>103</v>
      </c>
      <c r="I952" t="s">
        <v>323</v>
      </c>
      <c r="J952" t="s">
        <v>327</v>
      </c>
      <c r="K952" t="s">
        <v>337</v>
      </c>
      <c r="L952" t="s">
        <v>344</v>
      </c>
      <c r="M952" t="s">
        <v>347</v>
      </c>
      <c r="N952" t="s">
        <v>351</v>
      </c>
      <c r="O952" t="s">
        <v>355</v>
      </c>
      <c r="P952" t="s">
        <v>359</v>
      </c>
      <c r="Q952">
        <v>97.12</v>
      </c>
      <c r="R952">
        <v>5</v>
      </c>
      <c r="S952">
        <v>32.58</v>
      </c>
    </row>
    <row r="953" spans="1:19" x14ac:dyDescent="0.25">
      <c r="A953">
        <v>952</v>
      </c>
      <c r="B953" s="2">
        <v>45497</v>
      </c>
      <c r="C953">
        <v>2024</v>
      </c>
      <c r="D953" t="s">
        <v>20</v>
      </c>
      <c r="E953" s="2">
        <v>45503</v>
      </c>
      <c r="F953">
        <v>6</v>
      </c>
      <c r="G953" t="s">
        <v>33</v>
      </c>
      <c r="H953" t="s">
        <v>107</v>
      </c>
      <c r="I953" t="s">
        <v>324</v>
      </c>
      <c r="J953" t="s">
        <v>327</v>
      </c>
      <c r="K953" t="s">
        <v>337</v>
      </c>
      <c r="L953" t="s">
        <v>344</v>
      </c>
      <c r="M953" t="s">
        <v>347</v>
      </c>
      <c r="N953" t="s">
        <v>352</v>
      </c>
      <c r="O953" t="s">
        <v>357</v>
      </c>
      <c r="P953" t="s">
        <v>360</v>
      </c>
      <c r="Q953">
        <v>372.06</v>
      </c>
      <c r="R953">
        <v>7</v>
      </c>
      <c r="S953">
        <v>-52.08</v>
      </c>
    </row>
    <row r="954" spans="1:19" x14ac:dyDescent="0.25">
      <c r="A954">
        <v>953</v>
      </c>
      <c r="B954" s="2">
        <v>44559</v>
      </c>
      <c r="C954">
        <v>2021</v>
      </c>
      <c r="D954" t="s">
        <v>29</v>
      </c>
      <c r="E954" s="2">
        <v>44562</v>
      </c>
      <c r="F954">
        <v>3</v>
      </c>
      <c r="G954" t="s">
        <v>33</v>
      </c>
      <c r="H954" t="s">
        <v>235</v>
      </c>
      <c r="I954" t="s">
        <v>324</v>
      </c>
      <c r="J954" t="s">
        <v>327</v>
      </c>
      <c r="K954" t="s">
        <v>334</v>
      </c>
      <c r="L954" t="s">
        <v>334</v>
      </c>
      <c r="M954" t="s">
        <v>349</v>
      </c>
      <c r="N954" t="s">
        <v>351</v>
      </c>
      <c r="O954" t="s">
        <v>355</v>
      </c>
      <c r="P954" t="s">
        <v>359</v>
      </c>
      <c r="Q954">
        <v>83.78</v>
      </c>
      <c r="R954">
        <v>6</v>
      </c>
      <c r="S954">
        <v>-5.01</v>
      </c>
    </row>
    <row r="955" spans="1:19" x14ac:dyDescent="0.25">
      <c r="A955">
        <v>954</v>
      </c>
      <c r="B955" s="2">
        <v>45928</v>
      </c>
      <c r="C955">
        <v>2025</v>
      </c>
      <c r="D955" t="s">
        <v>25</v>
      </c>
      <c r="E955" s="2">
        <v>45933</v>
      </c>
      <c r="F955">
        <v>5</v>
      </c>
      <c r="G955" t="s">
        <v>32</v>
      </c>
      <c r="H955" t="s">
        <v>230</v>
      </c>
      <c r="I955" t="s">
        <v>323</v>
      </c>
      <c r="J955" t="s">
        <v>328</v>
      </c>
      <c r="K955" t="s">
        <v>335</v>
      </c>
      <c r="L955" t="s">
        <v>335</v>
      </c>
      <c r="M955" t="s">
        <v>345</v>
      </c>
      <c r="N955" t="s">
        <v>350</v>
      </c>
      <c r="O955" t="s">
        <v>354</v>
      </c>
      <c r="P955" t="s">
        <v>359</v>
      </c>
      <c r="Q955">
        <v>490.27</v>
      </c>
      <c r="R955">
        <v>2</v>
      </c>
      <c r="S955">
        <v>11.56</v>
      </c>
    </row>
    <row r="956" spans="1:19" x14ac:dyDescent="0.25">
      <c r="A956">
        <v>955</v>
      </c>
      <c r="B956" s="2">
        <v>44618</v>
      </c>
      <c r="C956">
        <v>2022</v>
      </c>
      <c r="D956" t="s">
        <v>28</v>
      </c>
      <c r="E956" s="2">
        <v>44620</v>
      </c>
      <c r="F956">
        <v>2</v>
      </c>
      <c r="G956" t="s">
        <v>33</v>
      </c>
      <c r="H956" t="s">
        <v>105</v>
      </c>
      <c r="I956" t="s">
        <v>324</v>
      </c>
      <c r="J956" t="s">
        <v>327</v>
      </c>
      <c r="K956" t="s">
        <v>330</v>
      </c>
      <c r="L956" t="s">
        <v>339</v>
      </c>
      <c r="M956" t="s">
        <v>346</v>
      </c>
      <c r="N956" t="s">
        <v>352</v>
      </c>
      <c r="O956" t="s">
        <v>358</v>
      </c>
      <c r="P956" t="s">
        <v>360</v>
      </c>
      <c r="Q956">
        <v>464.49</v>
      </c>
      <c r="R956">
        <v>7</v>
      </c>
      <c r="S956">
        <v>-62.61</v>
      </c>
    </row>
    <row r="957" spans="1:19" x14ac:dyDescent="0.25">
      <c r="A957">
        <v>956</v>
      </c>
      <c r="B957" s="2">
        <v>45113</v>
      </c>
      <c r="C957">
        <v>2023</v>
      </c>
      <c r="D957" t="s">
        <v>20</v>
      </c>
      <c r="E957" s="2">
        <v>45115</v>
      </c>
      <c r="F957">
        <v>2</v>
      </c>
      <c r="G957" t="s">
        <v>33</v>
      </c>
      <c r="H957" t="s">
        <v>223</v>
      </c>
      <c r="I957" t="s">
        <v>323</v>
      </c>
      <c r="J957" t="s">
        <v>326</v>
      </c>
      <c r="K957" t="s">
        <v>331</v>
      </c>
      <c r="L957" t="s">
        <v>340</v>
      </c>
      <c r="M957" t="s">
        <v>347</v>
      </c>
      <c r="N957" t="s">
        <v>350</v>
      </c>
      <c r="O957" t="s">
        <v>353</v>
      </c>
      <c r="P957" t="s">
        <v>361</v>
      </c>
      <c r="Q957">
        <v>394.67</v>
      </c>
      <c r="R957">
        <v>8</v>
      </c>
      <c r="S957">
        <v>-111.21</v>
      </c>
    </row>
    <row r="958" spans="1:19" x14ac:dyDescent="0.25">
      <c r="A958">
        <v>957</v>
      </c>
      <c r="B958" s="2">
        <v>45456</v>
      </c>
      <c r="C958">
        <v>2024</v>
      </c>
      <c r="D958" t="s">
        <v>21</v>
      </c>
      <c r="E958" s="2">
        <v>45458</v>
      </c>
      <c r="F958">
        <v>2</v>
      </c>
      <c r="G958" t="s">
        <v>33</v>
      </c>
      <c r="H958" t="s">
        <v>181</v>
      </c>
      <c r="I958" t="s">
        <v>325</v>
      </c>
      <c r="J958" t="s">
        <v>326</v>
      </c>
      <c r="K958" t="s">
        <v>329</v>
      </c>
      <c r="L958" t="s">
        <v>338</v>
      </c>
      <c r="M958" t="s">
        <v>345</v>
      </c>
      <c r="N958" t="s">
        <v>350</v>
      </c>
      <c r="O958" t="s">
        <v>354</v>
      </c>
      <c r="P958" t="s">
        <v>361</v>
      </c>
      <c r="Q958">
        <v>451.92</v>
      </c>
      <c r="R958">
        <v>6</v>
      </c>
      <c r="S958">
        <v>5.45</v>
      </c>
    </row>
    <row r="959" spans="1:19" x14ac:dyDescent="0.25">
      <c r="A959">
        <v>958</v>
      </c>
      <c r="B959" s="2">
        <v>45611</v>
      </c>
      <c r="C959">
        <v>2024</v>
      </c>
      <c r="D959" t="s">
        <v>30</v>
      </c>
      <c r="E959" s="2">
        <v>45617</v>
      </c>
      <c r="F959">
        <v>6</v>
      </c>
      <c r="G959" t="s">
        <v>32</v>
      </c>
      <c r="H959" t="s">
        <v>116</v>
      </c>
      <c r="I959" t="s">
        <v>323</v>
      </c>
      <c r="J959" t="s">
        <v>326</v>
      </c>
      <c r="K959" t="s">
        <v>331</v>
      </c>
      <c r="L959" t="s">
        <v>340</v>
      </c>
      <c r="M959" t="s">
        <v>347</v>
      </c>
      <c r="N959" t="s">
        <v>352</v>
      </c>
      <c r="O959" t="s">
        <v>358</v>
      </c>
      <c r="P959" t="s">
        <v>360</v>
      </c>
      <c r="Q959">
        <v>65.930000000000007</v>
      </c>
      <c r="R959">
        <v>7</v>
      </c>
      <c r="S959">
        <v>5.57</v>
      </c>
    </row>
    <row r="960" spans="1:19" x14ac:dyDescent="0.25">
      <c r="A960">
        <v>959</v>
      </c>
      <c r="B960" s="2">
        <v>44321</v>
      </c>
      <c r="C960">
        <v>2021</v>
      </c>
      <c r="D960" t="s">
        <v>19</v>
      </c>
      <c r="E960" s="2">
        <v>44329</v>
      </c>
      <c r="F960">
        <v>8</v>
      </c>
      <c r="G960" t="s">
        <v>34</v>
      </c>
      <c r="H960" t="s">
        <v>304</v>
      </c>
      <c r="I960" t="s">
        <v>324</v>
      </c>
      <c r="J960" t="s">
        <v>328</v>
      </c>
      <c r="K960" t="s">
        <v>336</v>
      </c>
      <c r="L960" t="s">
        <v>343</v>
      </c>
      <c r="M960" t="s">
        <v>347</v>
      </c>
      <c r="N960" t="s">
        <v>350</v>
      </c>
      <c r="O960" t="s">
        <v>353</v>
      </c>
      <c r="P960" t="s">
        <v>362</v>
      </c>
      <c r="Q960">
        <v>187</v>
      </c>
      <c r="R960">
        <v>8</v>
      </c>
      <c r="S960">
        <v>20.329999999999998</v>
      </c>
    </row>
    <row r="961" spans="1:19" x14ac:dyDescent="0.25">
      <c r="A961">
        <v>960</v>
      </c>
      <c r="B961" s="2">
        <v>43950</v>
      </c>
      <c r="C961">
        <v>2020</v>
      </c>
      <c r="D961" t="s">
        <v>26</v>
      </c>
      <c r="E961" s="2">
        <v>43958</v>
      </c>
      <c r="F961">
        <v>8</v>
      </c>
      <c r="G961" t="s">
        <v>32</v>
      </c>
      <c r="H961" t="s">
        <v>213</v>
      </c>
      <c r="I961" t="s">
        <v>323</v>
      </c>
      <c r="J961" t="s">
        <v>326</v>
      </c>
      <c r="K961" t="s">
        <v>329</v>
      </c>
      <c r="L961" t="s">
        <v>338</v>
      </c>
      <c r="M961" t="s">
        <v>345</v>
      </c>
      <c r="N961" t="s">
        <v>350</v>
      </c>
      <c r="O961" t="s">
        <v>354</v>
      </c>
      <c r="P961" t="s">
        <v>360</v>
      </c>
      <c r="Q961">
        <v>431.32</v>
      </c>
      <c r="R961">
        <v>1</v>
      </c>
      <c r="S961">
        <v>-29.79</v>
      </c>
    </row>
    <row r="962" spans="1:19" x14ac:dyDescent="0.25">
      <c r="A962">
        <v>961</v>
      </c>
      <c r="B962" s="2">
        <v>44242</v>
      </c>
      <c r="C962">
        <v>2021</v>
      </c>
      <c r="D962" t="s">
        <v>28</v>
      </c>
      <c r="E962" s="2">
        <v>44243</v>
      </c>
      <c r="F962">
        <v>1</v>
      </c>
      <c r="G962" t="s">
        <v>32</v>
      </c>
      <c r="H962" t="s">
        <v>316</v>
      </c>
      <c r="I962" t="s">
        <v>325</v>
      </c>
      <c r="J962" t="s">
        <v>328</v>
      </c>
      <c r="K962" t="s">
        <v>332</v>
      </c>
      <c r="L962" t="s">
        <v>341</v>
      </c>
      <c r="M962" t="s">
        <v>348</v>
      </c>
      <c r="N962" t="s">
        <v>351</v>
      </c>
      <c r="O962" t="s">
        <v>356</v>
      </c>
      <c r="P962" t="s">
        <v>359</v>
      </c>
      <c r="Q962">
        <v>370.33</v>
      </c>
      <c r="R962">
        <v>10</v>
      </c>
      <c r="S962">
        <v>154.16999999999999</v>
      </c>
    </row>
    <row r="963" spans="1:19" x14ac:dyDescent="0.25">
      <c r="A963">
        <v>962</v>
      </c>
      <c r="B963" s="2">
        <v>45575</v>
      </c>
      <c r="C963">
        <v>2024</v>
      </c>
      <c r="D963" t="s">
        <v>22</v>
      </c>
      <c r="E963" s="2">
        <v>45582</v>
      </c>
      <c r="F963">
        <v>7</v>
      </c>
      <c r="G963" t="s">
        <v>34</v>
      </c>
      <c r="H963" t="s">
        <v>199</v>
      </c>
      <c r="I963" t="s">
        <v>323</v>
      </c>
      <c r="J963" t="s">
        <v>327</v>
      </c>
      <c r="K963" t="s">
        <v>334</v>
      </c>
      <c r="L963" t="s">
        <v>334</v>
      </c>
      <c r="M963" t="s">
        <v>349</v>
      </c>
      <c r="N963" t="s">
        <v>350</v>
      </c>
      <c r="O963" t="s">
        <v>354</v>
      </c>
      <c r="P963" t="s">
        <v>362</v>
      </c>
      <c r="Q963">
        <v>91.96</v>
      </c>
      <c r="R963">
        <v>4</v>
      </c>
      <c r="S963">
        <v>-23.47</v>
      </c>
    </row>
    <row r="964" spans="1:19" x14ac:dyDescent="0.25">
      <c r="A964">
        <v>963</v>
      </c>
      <c r="B964" s="2">
        <v>44064</v>
      </c>
      <c r="C964">
        <v>2020</v>
      </c>
      <c r="D964" t="s">
        <v>27</v>
      </c>
      <c r="E964" s="2">
        <v>44073</v>
      </c>
      <c r="F964">
        <v>9</v>
      </c>
      <c r="G964" t="s">
        <v>33</v>
      </c>
      <c r="H964" t="s">
        <v>227</v>
      </c>
      <c r="I964" t="s">
        <v>324</v>
      </c>
      <c r="J964" t="s">
        <v>327</v>
      </c>
      <c r="K964" t="s">
        <v>334</v>
      </c>
      <c r="L964" t="s">
        <v>334</v>
      </c>
      <c r="M964" t="s">
        <v>349</v>
      </c>
      <c r="N964" t="s">
        <v>352</v>
      </c>
      <c r="O964" t="s">
        <v>357</v>
      </c>
      <c r="P964" t="s">
        <v>362</v>
      </c>
      <c r="Q964">
        <v>167.42</v>
      </c>
      <c r="R964">
        <v>8</v>
      </c>
      <c r="S964">
        <v>51.3</v>
      </c>
    </row>
    <row r="965" spans="1:19" x14ac:dyDescent="0.25">
      <c r="A965">
        <v>964</v>
      </c>
      <c r="B965" s="2">
        <v>43840</v>
      </c>
      <c r="C965">
        <v>2020</v>
      </c>
      <c r="D965" t="s">
        <v>23</v>
      </c>
      <c r="E965" s="2">
        <v>43850</v>
      </c>
      <c r="F965">
        <v>10</v>
      </c>
      <c r="G965" t="s">
        <v>32</v>
      </c>
      <c r="H965" t="s">
        <v>239</v>
      </c>
      <c r="I965" t="s">
        <v>324</v>
      </c>
      <c r="J965" t="s">
        <v>327</v>
      </c>
      <c r="K965" t="s">
        <v>334</v>
      </c>
      <c r="L965" t="s">
        <v>334</v>
      </c>
      <c r="M965" t="s">
        <v>349</v>
      </c>
      <c r="N965" t="s">
        <v>352</v>
      </c>
      <c r="O965" t="s">
        <v>358</v>
      </c>
      <c r="P965" t="s">
        <v>362</v>
      </c>
      <c r="Q965">
        <v>491.53</v>
      </c>
      <c r="R965">
        <v>6</v>
      </c>
      <c r="S965">
        <v>38.64</v>
      </c>
    </row>
    <row r="966" spans="1:19" x14ac:dyDescent="0.25">
      <c r="A966">
        <v>965</v>
      </c>
      <c r="B966" s="2">
        <v>44376</v>
      </c>
      <c r="C966">
        <v>2021</v>
      </c>
      <c r="D966" t="s">
        <v>21</v>
      </c>
      <c r="E966" s="2">
        <v>44377</v>
      </c>
      <c r="F966">
        <v>1</v>
      </c>
      <c r="G966" t="s">
        <v>31</v>
      </c>
      <c r="H966" t="s">
        <v>123</v>
      </c>
      <c r="I966" t="s">
        <v>325</v>
      </c>
      <c r="J966" t="s">
        <v>327</v>
      </c>
      <c r="K966" t="s">
        <v>334</v>
      </c>
      <c r="L966" t="s">
        <v>334</v>
      </c>
      <c r="M966" t="s">
        <v>349</v>
      </c>
      <c r="N966" t="s">
        <v>352</v>
      </c>
      <c r="O966" t="s">
        <v>358</v>
      </c>
      <c r="P966" t="s">
        <v>360</v>
      </c>
      <c r="Q966">
        <v>140.19999999999999</v>
      </c>
      <c r="R966">
        <v>8</v>
      </c>
      <c r="S966">
        <v>-31.55</v>
      </c>
    </row>
    <row r="967" spans="1:19" x14ac:dyDescent="0.25">
      <c r="A967">
        <v>966</v>
      </c>
      <c r="B967" s="2">
        <v>45888</v>
      </c>
      <c r="C967">
        <v>2025</v>
      </c>
      <c r="D967" t="s">
        <v>27</v>
      </c>
      <c r="E967" s="2">
        <v>45890</v>
      </c>
      <c r="F967">
        <v>2</v>
      </c>
      <c r="G967" t="s">
        <v>31</v>
      </c>
      <c r="H967" t="s">
        <v>39</v>
      </c>
      <c r="I967" t="s">
        <v>323</v>
      </c>
      <c r="J967" t="s">
        <v>327</v>
      </c>
      <c r="K967" t="s">
        <v>330</v>
      </c>
      <c r="L967" t="s">
        <v>339</v>
      </c>
      <c r="M967" t="s">
        <v>346</v>
      </c>
      <c r="N967" t="s">
        <v>350</v>
      </c>
      <c r="O967" t="s">
        <v>353</v>
      </c>
      <c r="P967" t="s">
        <v>362</v>
      </c>
      <c r="Q967">
        <v>227.64</v>
      </c>
      <c r="R967">
        <v>8</v>
      </c>
      <c r="S967">
        <v>-67.13</v>
      </c>
    </row>
    <row r="968" spans="1:19" x14ac:dyDescent="0.25">
      <c r="A968">
        <v>967</v>
      </c>
      <c r="B968" s="2">
        <v>44783</v>
      </c>
      <c r="C968">
        <v>2022</v>
      </c>
      <c r="D968" t="s">
        <v>27</v>
      </c>
      <c r="E968" s="2">
        <v>44785</v>
      </c>
      <c r="F968">
        <v>2</v>
      </c>
      <c r="G968" t="s">
        <v>33</v>
      </c>
      <c r="H968" t="s">
        <v>271</v>
      </c>
      <c r="I968" t="s">
        <v>325</v>
      </c>
      <c r="J968" t="s">
        <v>326</v>
      </c>
      <c r="K968" t="s">
        <v>331</v>
      </c>
      <c r="L968" t="s">
        <v>340</v>
      </c>
      <c r="M968" t="s">
        <v>347</v>
      </c>
      <c r="N968" t="s">
        <v>351</v>
      </c>
      <c r="O968" t="s">
        <v>355</v>
      </c>
      <c r="P968" t="s">
        <v>362</v>
      </c>
      <c r="Q968">
        <v>400.43</v>
      </c>
      <c r="R968">
        <v>8</v>
      </c>
      <c r="S968">
        <v>57.94</v>
      </c>
    </row>
    <row r="969" spans="1:19" x14ac:dyDescent="0.25">
      <c r="A969">
        <v>968</v>
      </c>
      <c r="B969" s="2">
        <v>44231</v>
      </c>
      <c r="C969">
        <v>2021</v>
      </c>
      <c r="D969" t="s">
        <v>28</v>
      </c>
      <c r="E969" s="2">
        <v>44233</v>
      </c>
      <c r="F969">
        <v>2</v>
      </c>
      <c r="G969" t="s">
        <v>32</v>
      </c>
      <c r="H969" t="s">
        <v>162</v>
      </c>
      <c r="I969" t="s">
        <v>323</v>
      </c>
      <c r="J969" t="s">
        <v>328</v>
      </c>
      <c r="K969" t="s">
        <v>336</v>
      </c>
      <c r="L969" t="s">
        <v>343</v>
      </c>
      <c r="M969" t="s">
        <v>347</v>
      </c>
      <c r="N969" t="s">
        <v>352</v>
      </c>
      <c r="O969" t="s">
        <v>358</v>
      </c>
      <c r="P969" t="s">
        <v>361</v>
      </c>
      <c r="Q969">
        <v>203.6</v>
      </c>
      <c r="R969">
        <v>1</v>
      </c>
      <c r="S969">
        <v>39.18</v>
      </c>
    </row>
    <row r="970" spans="1:19" x14ac:dyDescent="0.25">
      <c r="A970">
        <v>969</v>
      </c>
      <c r="B970" s="2">
        <v>43893</v>
      </c>
      <c r="C970">
        <v>2020</v>
      </c>
      <c r="D970" t="s">
        <v>24</v>
      </c>
      <c r="E970" s="2">
        <v>43894</v>
      </c>
      <c r="F970">
        <v>1</v>
      </c>
      <c r="G970" t="s">
        <v>33</v>
      </c>
      <c r="H970" t="s">
        <v>322</v>
      </c>
      <c r="I970" t="s">
        <v>324</v>
      </c>
      <c r="J970" t="s">
        <v>328</v>
      </c>
      <c r="K970" t="s">
        <v>335</v>
      </c>
      <c r="L970" t="s">
        <v>335</v>
      </c>
      <c r="M970" t="s">
        <v>345</v>
      </c>
      <c r="N970" t="s">
        <v>352</v>
      </c>
      <c r="O970" t="s">
        <v>358</v>
      </c>
      <c r="P970" t="s">
        <v>359</v>
      </c>
      <c r="Q970">
        <v>169.93</v>
      </c>
      <c r="R970">
        <v>9</v>
      </c>
      <c r="S970">
        <v>-32.81</v>
      </c>
    </row>
    <row r="971" spans="1:19" x14ac:dyDescent="0.25">
      <c r="A971">
        <v>970</v>
      </c>
      <c r="B971" s="2">
        <v>45956</v>
      </c>
      <c r="C971">
        <v>2025</v>
      </c>
      <c r="D971" t="s">
        <v>22</v>
      </c>
      <c r="E971" s="2">
        <v>45965</v>
      </c>
      <c r="F971">
        <v>9</v>
      </c>
      <c r="G971" t="s">
        <v>31</v>
      </c>
      <c r="H971" t="s">
        <v>226</v>
      </c>
      <c r="I971" t="s">
        <v>324</v>
      </c>
      <c r="J971" t="s">
        <v>328</v>
      </c>
      <c r="K971" t="s">
        <v>332</v>
      </c>
      <c r="L971" t="s">
        <v>341</v>
      </c>
      <c r="M971" t="s">
        <v>348</v>
      </c>
      <c r="N971" t="s">
        <v>352</v>
      </c>
      <c r="O971" t="s">
        <v>358</v>
      </c>
      <c r="P971" t="s">
        <v>360</v>
      </c>
      <c r="Q971">
        <v>419.98</v>
      </c>
      <c r="R971">
        <v>4</v>
      </c>
      <c r="S971">
        <v>-89.02</v>
      </c>
    </row>
    <row r="972" spans="1:19" x14ac:dyDescent="0.25">
      <c r="A972">
        <v>971</v>
      </c>
      <c r="B972" s="2">
        <v>44849</v>
      </c>
      <c r="C972">
        <v>2022</v>
      </c>
      <c r="D972" t="s">
        <v>22</v>
      </c>
      <c r="E972" s="2">
        <v>44851</v>
      </c>
      <c r="F972">
        <v>2</v>
      </c>
      <c r="G972" t="s">
        <v>34</v>
      </c>
      <c r="H972" t="s">
        <v>299</v>
      </c>
      <c r="I972" t="s">
        <v>325</v>
      </c>
      <c r="J972" t="s">
        <v>327</v>
      </c>
      <c r="K972" t="s">
        <v>330</v>
      </c>
      <c r="L972" t="s">
        <v>339</v>
      </c>
      <c r="M972" t="s">
        <v>346</v>
      </c>
      <c r="N972" t="s">
        <v>351</v>
      </c>
      <c r="O972" t="s">
        <v>355</v>
      </c>
      <c r="P972" t="s">
        <v>362</v>
      </c>
      <c r="Q972">
        <v>393.68</v>
      </c>
      <c r="R972">
        <v>3</v>
      </c>
      <c r="S972">
        <v>-13.29</v>
      </c>
    </row>
    <row r="973" spans="1:19" x14ac:dyDescent="0.25">
      <c r="A973">
        <v>972</v>
      </c>
      <c r="B973" s="2">
        <v>44616</v>
      </c>
      <c r="C973">
        <v>2022</v>
      </c>
      <c r="D973" t="s">
        <v>28</v>
      </c>
      <c r="E973" s="2">
        <v>44621</v>
      </c>
      <c r="F973">
        <v>5</v>
      </c>
      <c r="G973" t="s">
        <v>32</v>
      </c>
      <c r="H973" t="s">
        <v>250</v>
      </c>
      <c r="I973" t="s">
        <v>324</v>
      </c>
      <c r="J973" t="s">
        <v>326</v>
      </c>
      <c r="K973" t="s">
        <v>333</v>
      </c>
      <c r="L973" t="s">
        <v>342</v>
      </c>
      <c r="M973" t="s">
        <v>345</v>
      </c>
      <c r="N973" t="s">
        <v>352</v>
      </c>
      <c r="O973" t="s">
        <v>357</v>
      </c>
      <c r="P973" t="s">
        <v>362</v>
      </c>
      <c r="Q973">
        <v>385.5</v>
      </c>
      <c r="R973">
        <v>2</v>
      </c>
      <c r="S973">
        <v>27.96</v>
      </c>
    </row>
    <row r="974" spans="1:19" x14ac:dyDescent="0.25">
      <c r="A974">
        <v>973</v>
      </c>
      <c r="B974" s="2">
        <v>46010</v>
      </c>
      <c r="C974">
        <v>2025</v>
      </c>
      <c r="D974" t="s">
        <v>29</v>
      </c>
      <c r="E974" s="2">
        <v>46011</v>
      </c>
      <c r="F974">
        <v>1</v>
      </c>
      <c r="G974" t="s">
        <v>33</v>
      </c>
      <c r="H974" t="s">
        <v>116</v>
      </c>
      <c r="I974" t="s">
        <v>324</v>
      </c>
      <c r="J974" t="s">
        <v>328</v>
      </c>
      <c r="K974" t="s">
        <v>332</v>
      </c>
      <c r="L974" t="s">
        <v>341</v>
      </c>
      <c r="M974" t="s">
        <v>348</v>
      </c>
      <c r="N974" t="s">
        <v>350</v>
      </c>
      <c r="O974" t="s">
        <v>354</v>
      </c>
      <c r="P974" t="s">
        <v>359</v>
      </c>
      <c r="Q974">
        <v>170.68</v>
      </c>
      <c r="R974">
        <v>5</v>
      </c>
      <c r="S974">
        <v>-40.090000000000003</v>
      </c>
    </row>
    <row r="975" spans="1:19" x14ac:dyDescent="0.25">
      <c r="A975">
        <v>974</v>
      </c>
      <c r="B975" s="2">
        <v>44358</v>
      </c>
      <c r="C975">
        <v>2021</v>
      </c>
      <c r="D975" t="s">
        <v>21</v>
      </c>
      <c r="E975" s="2">
        <v>44362</v>
      </c>
      <c r="F975">
        <v>4</v>
      </c>
      <c r="G975" t="s">
        <v>34</v>
      </c>
      <c r="H975" t="s">
        <v>307</v>
      </c>
      <c r="I975" t="s">
        <v>324</v>
      </c>
      <c r="J975" t="s">
        <v>328</v>
      </c>
      <c r="K975" t="s">
        <v>335</v>
      </c>
      <c r="L975" t="s">
        <v>335</v>
      </c>
      <c r="M975" t="s">
        <v>345</v>
      </c>
      <c r="N975" t="s">
        <v>351</v>
      </c>
      <c r="O975" t="s">
        <v>355</v>
      </c>
      <c r="P975" t="s">
        <v>360</v>
      </c>
      <c r="Q975">
        <v>109.81</v>
      </c>
      <c r="R975">
        <v>1</v>
      </c>
      <c r="S975">
        <v>31.48</v>
      </c>
    </row>
    <row r="976" spans="1:19" x14ac:dyDescent="0.25">
      <c r="A976">
        <v>975</v>
      </c>
      <c r="B976" s="2">
        <v>45452</v>
      </c>
      <c r="C976">
        <v>2024</v>
      </c>
      <c r="D976" t="s">
        <v>21</v>
      </c>
      <c r="E976" s="2">
        <v>45455</v>
      </c>
      <c r="F976">
        <v>3</v>
      </c>
      <c r="G976" t="s">
        <v>31</v>
      </c>
      <c r="H976" t="s">
        <v>284</v>
      </c>
      <c r="I976" t="s">
        <v>324</v>
      </c>
      <c r="J976" t="s">
        <v>328</v>
      </c>
      <c r="K976" t="s">
        <v>336</v>
      </c>
      <c r="L976" t="s">
        <v>343</v>
      </c>
      <c r="M976" t="s">
        <v>347</v>
      </c>
      <c r="N976" t="s">
        <v>350</v>
      </c>
      <c r="O976" t="s">
        <v>354</v>
      </c>
      <c r="P976" t="s">
        <v>360</v>
      </c>
      <c r="Q976">
        <v>178.61</v>
      </c>
      <c r="R976">
        <v>8</v>
      </c>
      <c r="S976">
        <v>23.75</v>
      </c>
    </row>
    <row r="977" spans="1:19" x14ac:dyDescent="0.25">
      <c r="A977">
        <v>976</v>
      </c>
      <c r="B977" s="2">
        <v>44670</v>
      </c>
      <c r="C977">
        <v>2022</v>
      </c>
      <c r="D977" t="s">
        <v>26</v>
      </c>
      <c r="E977" s="2">
        <v>44675</v>
      </c>
      <c r="F977">
        <v>5</v>
      </c>
      <c r="G977" t="s">
        <v>33</v>
      </c>
      <c r="H977" t="s">
        <v>286</v>
      </c>
      <c r="I977" t="s">
        <v>324</v>
      </c>
      <c r="J977" t="s">
        <v>326</v>
      </c>
      <c r="K977" t="s">
        <v>331</v>
      </c>
      <c r="L977" t="s">
        <v>340</v>
      </c>
      <c r="M977" t="s">
        <v>347</v>
      </c>
      <c r="N977" t="s">
        <v>350</v>
      </c>
      <c r="O977" t="s">
        <v>353</v>
      </c>
      <c r="P977" t="s">
        <v>361</v>
      </c>
      <c r="Q977">
        <v>221.43</v>
      </c>
      <c r="R977">
        <v>8</v>
      </c>
      <c r="S977">
        <v>-12.38</v>
      </c>
    </row>
    <row r="978" spans="1:19" x14ac:dyDescent="0.25">
      <c r="A978">
        <v>977</v>
      </c>
      <c r="B978" s="2">
        <v>44729</v>
      </c>
      <c r="C978">
        <v>2022</v>
      </c>
      <c r="D978" t="s">
        <v>21</v>
      </c>
      <c r="E978" s="2">
        <v>44739</v>
      </c>
      <c r="F978">
        <v>10</v>
      </c>
      <c r="G978" t="s">
        <v>33</v>
      </c>
      <c r="H978" t="s">
        <v>312</v>
      </c>
      <c r="I978" t="s">
        <v>325</v>
      </c>
      <c r="J978" t="s">
        <v>328</v>
      </c>
      <c r="K978" t="s">
        <v>332</v>
      </c>
      <c r="L978" t="s">
        <v>341</v>
      </c>
      <c r="M978" t="s">
        <v>348</v>
      </c>
      <c r="N978" t="s">
        <v>351</v>
      </c>
      <c r="O978" t="s">
        <v>355</v>
      </c>
      <c r="P978" t="s">
        <v>359</v>
      </c>
      <c r="Q978">
        <v>364.06</v>
      </c>
      <c r="R978">
        <v>1</v>
      </c>
      <c r="S978">
        <v>-87.36</v>
      </c>
    </row>
    <row r="979" spans="1:19" x14ac:dyDescent="0.25">
      <c r="A979">
        <v>978</v>
      </c>
      <c r="B979" s="2">
        <v>44418</v>
      </c>
      <c r="C979">
        <v>2021</v>
      </c>
      <c r="D979" t="s">
        <v>27</v>
      </c>
      <c r="E979" s="2">
        <v>44423</v>
      </c>
      <c r="F979">
        <v>5</v>
      </c>
      <c r="G979" t="s">
        <v>34</v>
      </c>
      <c r="H979" t="s">
        <v>89</v>
      </c>
      <c r="I979" t="s">
        <v>325</v>
      </c>
      <c r="J979" t="s">
        <v>327</v>
      </c>
      <c r="K979" t="s">
        <v>334</v>
      </c>
      <c r="L979" t="s">
        <v>334</v>
      </c>
      <c r="M979" t="s">
        <v>349</v>
      </c>
      <c r="N979" t="s">
        <v>351</v>
      </c>
      <c r="O979" t="s">
        <v>356</v>
      </c>
      <c r="P979" t="s">
        <v>362</v>
      </c>
      <c r="Q979">
        <v>258.60000000000002</v>
      </c>
      <c r="R979">
        <v>9</v>
      </c>
      <c r="S979">
        <v>64.25</v>
      </c>
    </row>
    <row r="980" spans="1:19" x14ac:dyDescent="0.25">
      <c r="A980">
        <v>979</v>
      </c>
      <c r="B980" s="2">
        <v>44276</v>
      </c>
      <c r="C980">
        <v>2021</v>
      </c>
      <c r="D980" t="s">
        <v>24</v>
      </c>
      <c r="E980" s="2">
        <v>44281</v>
      </c>
      <c r="F980">
        <v>5</v>
      </c>
      <c r="G980" t="s">
        <v>32</v>
      </c>
      <c r="H980" t="s">
        <v>315</v>
      </c>
      <c r="I980" t="s">
        <v>325</v>
      </c>
      <c r="J980" t="s">
        <v>328</v>
      </c>
      <c r="K980" t="s">
        <v>335</v>
      </c>
      <c r="L980" t="s">
        <v>335</v>
      </c>
      <c r="M980" t="s">
        <v>345</v>
      </c>
      <c r="N980" t="s">
        <v>352</v>
      </c>
      <c r="O980" t="s">
        <v>358</v>
      </c>
      <c r="P980" t="s">
        <v>361</v>
      </c>
      <c r="Q980">
        <v>110.78</v>
      </c>
      <c r="R980">
        <v>6</v>
      </c>
      <c r="S980">
        <v>-17.39</v>
      </c>
    </row>
    <row r="981" spans="1:19" x14ac:dyDescent="0.25">
      <c r="A981">
        <v>980</v>
      </c>
      <c r="B981" s="2">
        <v>45594</v>
      </c>
      <c r="C981">
        <v>2024</v>
      </c>
      <c r="D981" t="s">
        <v>22</v>
      </c>
      <c r="E981" s="2">
        <v>45603</v>
      </c>
      <c r="F981">
        <v>9</v>
      </c>
      <c r="G981" t="s">
        <v>31</v>
      </c>
      <c r="H981" t="s">
        <v>107</v>
      </c>
      <c r="I981" t="s">
        <v>324</v>
      </c>
      <c r="J981" t="s">
        <v>327</v>
      </c>
      <c r="K981" t="s">
        <v>337</v>
      </c>
      <c r="L981" t="s">
        <v>344</v>
      </c>
      <c r="M981" t="s">
        <v>347</v>
      </c>
      <c r="N981" t="s">
        <v>352</v>
      </c>
      <c r="O981" t="s">
        <v>357</v>
      </c>
      <c r="P981" t="s">
        <v>360</v>
      </c>
      <c r="Q981">
        <v>277.38</v>
      </c>
      <c r="R981">
        <v>8</v>
      </c>
      <c r="S981">
        <v>21.35</v>
      </c>
    </row>
    <row r="982" spans="1:19" x14ac:dyDescent="0.25">
      <c r="A982">
        <v>981</v>
      </c>
      <c r="B982" s="2">
        <v>44326</v>
      </c>
      <c r="C982">
        <v>2021</v>
      </c>
      <c r="D982" t="s">
        <v>19</v>
      </c>
      <c r="E982" s="2">
        <v>44334</v>
      </c>
      <c r="F982">
        <v>8</v>
      </c>
      <c r="G982" t="s">
        <v>33</v>
      </c>
      <c r="H982" t="s">
        <v>68</v>
      </c>
      <c r="I982" t="s">
        <v>325</v>
      </c>
      <c r="J982" t="s">
        <v>326</v>
      </c>
      <c r="K982" t="s">
        <v>331</v>
      </c>
      <c r="L982" t="s">
        <v>340</v>
      </c>
      <c r="M982" t="s">
        <v>347</v>
      </c>
      <c r="N982" t="s">
        <v>351</v>
      </c>
      <c r="O982" t="s">
        <v>355</v>
      </c>
      <c r="P982" t="s">
        <v>362</v>
      </c>
      <c r="Q982">
        <v>403.32</v>
      </c>
      <c r="R982">
        <v>3</v>
      </c>
      <c r="S982">
        <v>-28.69</v>
      </c>
    </row>
    <row r="983" spans="1:19" x14ac:dyDescent="0.25">
      <c r="A983">
        <v>982</v>
      </c>
      <c r="B983" s="2">
        <v>44997</v>
      </c>
      <c r="C983">
        <v>2023</v>
      </c>
      <c r="D983" t="s">
        <v>24</v>
      </c>
      <c r="E983" s="2">
        <v>45004</v>
      </c>
      <c r="F983">
        <v>7</v>
      </c>
      <c r="G983" t="s">
        <v>33</v>
      </c>
      <c r="H983" t="s">
        <v>182</v>
      </c>
      <c r="I983" t="s">
        <v>325</v>
      </c>
      <c r="J983" t="s">
        <v>328</v>
      </c>
      <c r="K983" t="s">
        <v>332</v>
      </c>
      <c r="L983" t="s">
        <v>341</v>
      </c>
      <c r="M983" t="s">
        <v>348</v>
      </c>
      <c r="N983" t="s">
        <v>352</v>
      </c>
      <c r="O983" t="s">
        <v>357</v>
      </c>
      <c r="P983" t="s">
        <v>361</v>
      </c>
      <c r="Q983">
        <v>162.22</v>
      </c>
      <c r="R983">
        <v>7</v>
      </c>
      <c r="S983">
        <v>-33.36</v>
      </c>
    </row>
    <row r="984" spans="1:19" x14ac:dyDescent="0.25">
      <c r="A984">
        <v>983</v>
      </c>
      <c r="B984" s="2">
        <v>44277</v>
      </c>
      <c r="C984">
        <v>2021</v>
      </c>
      <c r="D984" t="s">
        <v>24</v>
      </c>
      <c r="E984" s="2">
        <v>44287</v>
      </c>
      <c r="F984">
        <v>10</v>
      </c>
      <c r="G984" t="s">
        <v>31</v>
      </c>
      <c r="H984" t="s">
        <v>166</v>
      </c>
      <c r="I984" t="s">
        <v>323</v>
      </c>
      <c r="J984" t="s">
        <v>327</v>
      </c>
      <c r="K984" t="s">
        <v>330</v>
      </c>
      <c r="L984" t="s">
        <v>339</v>
      </c>
      <c r="M984" t="s">
        <v>346</v>
      </c>
      <c r="N984" t="s">
        <v>350</v>
      </c>
      <c r="O984" t="s">
        <v>354</v>
      </c>
      <c r="P984" t="s">
        <v>359</v>
      </c>
      <c r="Q984">
        <v>25.84</v>
      </c>
      <c r="R984">
        <v>9</v>
      </c>
      <c r="S984">
        <v>10.92</v>
      </c>
    </row>
    <row r="985" spans="1:19" x14ac:dyDescent="0.25">
      <c r="A985">
        <v>984</v>
      </c>
      <c r="B985" s="2">
        <v>45266</v>
      </c>
      <c r="C985">
        <v>2023</v>
      </c>
      <c r="D985" t="s">
        <v>29</v>
      </c>
      <c r="E985" s="2">
        <v>45269</v>
      </c>
      <c r="F985">
        <v>3</v>
      </c>
      <c r="G985" t="s">
        <v>32</v>
      </c>
      <c r="H985" t="s">
        <v>313</v>
      </c>
      <c r="I985" t="s">
        <v>325</v>
      </c>
      <c r="J985" t="s">
        <v>326</v>
      </c>
      <c r="K985" t="s">
        <v>333</v>
      </c>
      <c r="L985" t="s">
        <v>342</v>
      </c>
      <c r="M985" t="s">
        <v>345</v>
      </c>
      <c r="N985" t="s">
        <v>352</v>
      </c>
      <c r="O985" t="s">
        <v>358</v>
      </c>
      <c r="P985" t="s">
        <v>361</v>
      </c>
      <c r="Q985">
        <v>370.83</v>
      </c>
      <c r="R985">
        <v>8</v>
      </c>
      <c r="S985">
        <v>-3.72</v>
      </c>
    </row>
    <row r="986" spans="1:19" x14ac:dyDescent="0.25">
      <c r="A986">
        <v>985</v>
      </c>
      <c r="B986" s="2">
        <v>44828</v>
      </c>
      <c r="C986">
        <v>2022</v>
      </c>
      <c r="D986" t="s">
        <v>25</v>
      </c>
      <c r="E986" s="2">
        <v>44837</v>
      </c>
      <c r="F986">
        <v>9</v>
      </c>
      <c r="G986" t="s">
        <v>32</v>
      </c>
      <c r="H986" t="s">
        <v>195</v>
      </c>
      <c r="I986" t="s">
        <v>324</v>
      </c>
      <c r="J986" t="s">
        <v>326</v>
      </c>
      <c r="K986" t="s">
        <v>331</v>
      </c>
      <c r="L986" t="s">
        <v>340</v>
      </c>
      <c r="M986" t="s">
        <v>347</v>
      </c>
      <c r="N986" t="s">
        <v>350</v>
      </c>
      <c r="O986" t="s">
        <v>353</v>
      </c>
      <c r="P986" t="s">
        <v>361</v>
      </c>
      <c r="Q986">
        <v>458.97</v>
      </c>
      <c r="R986">
        <v>1</v>
      </c>
      <c r="S986">
        <v>129.80000000000001</v>
      </c>
    </row>
    <row r="987" spans="1:19" x14ac:dyDescent="0.25">
      <c r="A987">
        <v>986</v>
      </c>
      <c r="B987" s="2">
        <v>44028</v>
      </c>
      <c r="C987">
        <v>2020</v>
      </c>
      <c r="D987" t="s">
        <v>20</v>
      </c>
      <c r="E987" s="2">
        <v>44030</v>
      </c>
      <c r="F987">
        <v>2</v>
      </c>
      <c r="G987" t="s">
        <v>34</v>
      </c>
      <c r="H987" t="s">
        <v>64</v>
      </c>
      <c r="I987" t="s">
        <v>323</v>
      </c>
      <c r="J987" t="s">
        <v>327</v>
      </c>
      <c r="K987" t="s">
        <v>334</v>
      </c>
      <c r="L987" t="s">
        <v>334</v>
      </c>
      <c r="M987" t="s">
        <v>349</v>
      </c>
      <c r="N987" t="s">
        <v>351</v>
      </c>
      <c r="O987" t="s">
        <v>356</v>
      </c>
      <c r="P987" t="s">
        <v>362</v>
      </c>
      <c r="Q987">
        <v>243.03</v>
      </c>
      <c r="R987">
        <v>8</v>
      </c>
      <c r="S987">
        <v>-31.75</v>
      </c>
    </row>
    <row r="988" spans="1:19" x14ac:dyDescent="0.25">
      <c r="A988">
        <v>987</v>
      </c>
      <c r="B988" s="2">
        <v>44588</v>
      </c>
      <c r="C988">
        <v>2022</v>
      </c>
      <c r="D988" t="s">
        <v>23</v>
      </c>
      <c r="E988" s="2">
        <v>44589</v>
      </c>
      <c r="F988">
        <v>1</v>
      </c>
      <c r="G988" t="s">
        <v>32</v>
      </c>
      <c r="H988" t="s">
        <v>322</v>
      </c>
      <c r="I988" t="s">
        <v>323</v>
      </c>
      <c r="J988" t="s">
        <v>328</v>
      </c>
      <c r="K988" t="s">
        <v>332</v>
      </c>
      <c r="L988" t="s">
        <v>341</v>
      </c>
      <c r="M988" t="s">
        <v>348</v>
      </c>
      <c r="N988" t="s">
        <v>352</v>
      </c>
      <c r="O988" t="s">
        <v>357</v>
      </c>
      <c r="P988" t="s">
        <v>362</v>
      </c>
      <c r="Q988">
        <v>351.71</v>
      </c>
      <c r="R988">
        <v>8</v>
      </c>
      <c r="S988">
        <v>92.13</v>
      </c>
    </row>
    <row r="989" spans="1:19" x14ac:dyDescent="0.25">
      <c r="A989">
        <v>988</v>
      </c>
      <c r="B989" s="2">
        <v>45660</v>
      </c>
      <c r="C989">
        <v>2025</v>
      </c>
      <c r="D989" t="s">
        <v>23</v>
      </c>
      <c r="E989" s="2">
        <v>45668</v>
      </c>
      <c r="F989">
        <v>8</v>
      </c>
      <c r="G989" t="s">
        <v>32</v>
      </c>
      <c r="H989" t="s">
        <v>224</v>
      </c>
      <c r="I989" t="s">
        <v>325</v>
      </c>
      <c r="J989" t="s">
        <v>328</v>
      </c>
      <c r="K989" t="s">
        <v>335</v>
      </c>
      <c r="L989" t="s">
        <v>335</v>
      </c>
      <c r="M989" t="s">
        <v>345</v>
      </c>
      <c r="N989" t="s">
        <v>352</v>
      </c>
      <c r="O989" t="s">
        <v>358</v>
      </c>
      <c r="P989" t="s">
        <v>359</v>
      </c>
      <c r="Q989">
        <v>415</v>
      </c>
      <c r="R989">
        <v>3</v>
      </c>
      <c r="S989">
        <v>126.19</v>
      </c>
    </row>
    <row r="990" spans="1:19" x14ac:dyDescent="0.25">
      <c r="A990">
        <v>989</v>
      </c>
      <c r="B990" s="2">
        <v>45362</v>
      </c>
      <c r="C990">
        <v>2024</v>
      </c>
      <c r="D990" t="s">
        <v>24</v>
      </c>
      <c r="E990" s="2">
        <v>45369</v>
      </c>
      <c r="F990">
        <v>7</v>
      </c>
      <c r="G990" t="s">
        <v>32</v>
      </c>
      <c r="H990" t="s">
        <v>224</v>
      </c>
      <c r="I990" t="s">
        <v>325</v>
      </c>
      <c r="J990" t="s">
        <v>328</v>
      </c>
      <c r="K990" t="s">
        <v>332</v>
      </c>
      <c r="L990" t="s">
        <v>341</v>
      </c>
      <c r="M990" t="s">
        <v>348</v>
      </c>
      <c r="N990" t="s">
        <v>352</v>
      </c>
      <c r="O990" t="s">
        <v>357</v>
      </c>
      <c r="P990" t="s">
        <v>359</v>
      </c>
      <c r="Q990">
        <v>199</v>
      </c>
      <c r="R990">
        <v>1</v>
      </c>
      <c r="S990">
        <v>92.07</v>
      </c>
    </row>
    <row r="991" spans="1:19" x14ac:dyDescent="0.25">
      <c r="A991">
        <v>990</v>
      </c>
      <c r="B991" s="2">
        <v>45087</v>
      </c>
      <c r="C991">
        <v>2023</v>
      </c>
      <c r="D991" t="s">
        <v>21</v>
      </c>
      <c r="E991" s="2">
        <v>45094</v>
      </c>
      <c r="F991">
        <v>7</v>
      </c>
      <c r="G991" t="s">
        <v>34</v>
      </c>
      <c r="H991" t="s">
        <v>79</v>
      </c>
      <c r="I991" t="s">
        <v>324</v>
      </c>
      <c r="J991" t="s">
        <v>328</v>
      </c>
      <c r="K991" t="s">
        <v>335</v>
      </c>
      <c r="L991" t="s">
        <v>335</v>
      </c>
      <c r="M991" t="s">
        <v>345</v>
      </c>
      <c r="N991" t="s">
        <v>352</v>
      </c>
      <c r="O991" t="s">
        <v>357</v>
      </c>
      <c r="P991" t="s">
        <v>359</v>
      </c>
      <c r="Q991">
        <v>328.35</v>
      </c>
      <c r="R991">
        <v>9</v>
      </c>
      <c r="S991">
        <v>-64.209999999999994</v>
      </c>
    </row>
    <row r="992" spans="1:19" x14ac:dyDescent="0.25">
      <c r="A992">
        <v>991</v>
      </c>
      <c r="B992" s="2">
        <v>45523</v>
      </c>
      <c r="C992">
        <v>2024</v>
      </c>
      <c r="D992" t="s">
        <v>27</v>
      </c>
      <c r="E992" s="2">
        <v>45527</v>
      </c>
      <c r="F992">
        <v>4</v>
      </c>
      <c r="G992" t="s">
        <v>31</v>
      </c>
      <c r="H992" t="s">
        <v>89</v>
      </c>
      <c r="I992" t="s">
        <v>323</v>
      </c>
      <c r="J992" t="s">
        <v>327</v>
      </c>
      <c r="K992" t="s">
        <v>330</v>
      </c>
      <c r="L992" t="s">
        <v>339</v>
      </c>
      <c r="M992" t="s">
        <v>346</v>
      </c>
      <c r="N992" t="s">
        <v>350</v>
      </c>
      <c r="O992" t="s">
        <v>353</v>
      </c>
      <c r="P992" t="s">
        <v>359</v>
      </c>
      <c r="Q992">
        <v>179.06</v>
      </c>
      <c r="R992">
        <v>4</v>
      </c>
      <c r="S992">
        <v>-22.26</v>
      </c>
    </row>
    <row r="993" spans="1:19" x14ac:dyDescent="0.25">
      <c r="A993">
        <v>992</v>
      </c>
      <c r="B993" s="2">
        <v>45600</v>
      </c>
      <c r="C993">
        <v>2024</v>
      </c>
      <c r="D993" t="s">
        <v>30</v>
      </c>
      <c r="E993" s="2">
        <v>45610</v>
      </c>
      <c r="F993">
        <v>10</v>
      </c>
      <c r="G993" t="s">
        <v>31</v>
      </c>
      <c r="H993" t="s">
        <v>275</v>
      </c>
      <c r="I993" t="s">
        <v>323</v>
      </c>
      <c r="J993" t="s">
        <v>327</v>
      </c>
      <c r="K993" t="s">
        <v>334</v>
      </c>
      <c r="L993" t="s">
        <v>334</v>
      </c>
      <c r="M993" t="s">
        <v>349</v>
      </c>
      <c r="N993" t="s">
        <v>350</v>
      </c>
      <c r="O993" t="s">
        <v>354</v>
      </c>
      <c r="P993" t="s">
        <v>361</v>
      </c>
      <c r="Q993">
        <v>273.37</v>
      </c>
      <c r="R993">
        <v>4</v>
      </c>
      <c r="S993">
        <v>-53.23</v>
      </c>
    </row>
    <row r="994" spans="1:19" x14ac:dyDescent="0.25">
      <c r="A994">
        <v>993</v>
      </c>
      <c r="B994" s="2">
        <v>44035</v>
      </c>
      <c r="C994">
        <v>2020</v>
      </c>
      <c r="D994" t="s">
        <v>20</v>
      </c>
      <c r="E994" s="2">
        <v>44040</v>
      </c>
      <c r="F994">
        <v>5</v>
      </c>
      <c r="G994" t="s">
        <v>33</v>
      </c>
      <c r="H994" t="s">
        <v>188</v>
      </c>
      <c r="I994" t="s">
        <v>324</v>
      </c>
      <c r="J994" t="s">
        <v>326</v>
      </c>
      <c r="K994" t="s">
        <v>331</v>
      </c>
      <c r="L994" t="s">
        <v>340</v>
      </c>
      <c r="M994" t="s">
        <v>347</v>
      </c>
      <c r="N994" t="s">
        <v>350</v>
      </c>
      <c r="O994" t="s">
        <v>353</v>
      </c>
      <c r="P994" t="s">
        <v>361</v>
      </c>
      <c r="Q994">
        <v>496.97</v>
      </c>
      <c r="R994">
        <v>8</v>
      </c>
      <c r="S994">
        <v>120.72</v>
      </c>
    </row>
    <row r="995" spans="1:19" x14ac:dyDescent="0.25">
      <c r="A995">
        <v>994</v>
      </c>
      <c r="B995" s="2">
        <v>44428</v>
      </c>
      <c r="C995">
        <v>2021</v>
      </c>
      <c r="D995" t="s">
        <v>27</v>
      </c>
      <c r="E995" s="2">
        <v>44431</v>
      </c>
      <c r="F995">
        <v>3</v>
      </c>
      <c r="G995" t="s">
        <v>31</v>
      </c>
      <c r="H995" t="s">
        <v>258</v>
      </c>
      <c r="I995" t="s">
        <v>324</v>
      </c>
      <c r="J995" t="s">
        <v>327</v>
      </c>
      <c r="K995" t="s">
        <v>337</v>
      </c>
      <c r="L995" t="s">
        <v>344</v>
      </c>
      <c r="M995" t="s">
        <v>347</v>
      </c>
      <c r="N995" t="s">
        <v>350</v>
      </c>
      <c r="O995" t="s">
        <v>353</v>
      </c>
      <c r="P995" t="s">
        <v>362</v>
      </c>
      <c r="Q995">
        <v>366.06</v>
      </c>
      <c r="R995">
        <v>6</v>
      </c>
      <c r="S995">
        <v>0.87</v>
      </c>
    </row>
    <row r="996" spans="1:19" x14ac:dyDescent="0.25">
      <c r="A996">
        <v>995</v>
      </c>
      <c r="B996" s="2">
        <v>45243</v>
      </c>
      <c r="C996">
        <v>2023</v>
      </c>
      <c r="D996" t="s">
        <v>30</v>
      </c>
      <c r="E996" s="2">
        <v>45248</v>
      </c>
      <c r="F996">
        <v>5</v>
      </c>
      <c r="G996" t="s">
        <v>31</v>
      </c>
      <c r="H996" t="s">
        <v>99</v>
      </c>
      <c r="I996" t="s">
        <v>325</v>
      </c>
      <c r="J996" t="s">
        <v>326</v>
      </c>
      <c r="K996" t="s">
        <v>333</v>
      </c>
      <c r="L996" t="s">
        <v>342</v>
      </c>
      <c r="M996" t="s">
        <v>345</v>
      </c>
      <c r="N996" t="s">
        <v>352</v>
      </c>
      <c r="O996" t="s">
        <v>357</v>
      </c>
      <c r="P996" t="s">
        <v>359</v>
      </c>
      <c r="Q996">
        <v>260.2</v>
      </c>
      <c r="R996">
        <v>7</v>
      </c>
      <c r="S996">
        <v>-14.12</v>
      </c>
    </row>
    <row r="997" spans="1:19" x14ac:dyDescent="0.25">
      <c r="A997">
        <v>996</v>
      </c>
      <c r="B997" s="2">
        <v>45445</v>
      </c>
      <c r="C997">
        <v>2024</v>
      </c>
      <c r="D997" t="s">
        <v>21</v>
      </c>
      <c r="E997" s="2">
        <v>45449</v>
      </c>
      <c r="F997">
        <v>4</v>
      </c>
      <c r="G997" t="s">
        <v>32</v>
      </c>
      <c r="H997" t="s">
        <v>96</v>
      </c>
      <c r="I997" t="s">
        <v>324</v>
      </c>
      <c r="J997" t="s">
        <v>328</v>
      </c>
      <c r="K997" t="s">
        <v>336</v>
      </c>
      <c r="L997" t="s">
        <v>343</v>
      </c>
      <c r="M997" t="s">
        <v>347</v>
      </c>
      <c r="N997" t="s">
        <v>352</v>
      </c>
      <c r="O997" t="s">
        <v>358</v>
      </c>
      <c r="P997" t="s">
        <v>361</v>
      </c>
      <c r="Q997">
        <v>37.299999999999997</v>
      </c>
      <c r="R997">
        <v>5</v>
      </c>
      <c r="S997">
        <v>2.0099999999999998</v>
      </c>
    </row>
    <row r="998" spans="1:19" x14ac:dyDescent="0.25">
      <c r="A998">
        <v>997</v>
      </c>
      <c r="B998" s="2">
        <v>43951</v>
      </c>
      <c r="C998">
        <v>2020</v>
      </c>
      <c r="D998" t="s">
        <v>26</v>
      </c>
      <c r="E998" s="2">
        <v>43958</v>
      </c>
      <c r="F998">
        <v>7</v>
      </c>
      <c r="G998" t="s">
        <v>34</v>
      </c>
      <c r="H998" t="s">
        <v>90</v>
      </c>
      <c r="I998" t="s">
        <v>325</v>
      </c>
      <c r="J998" t="s">
        <v>327</v>
      </c>
      <c r="K998" t="s">
        <v>330</v>
      </c>
      <c r="L998" t="s">
        <v>339</v>
      </c>
      <c r="M998" t="s">
        <v>346</v>
      </c>
      <c r="N998" t="s">
        <v>350</v>
      </c>
      <c r="O998" t="s">
        <v>353</v>
      </c>
      <c r="P998" t="s">
        <v>360</v>
      </c>
      <c r="Q998">
        <v>120.57</v>
      </c>
      <c r="R998">
        <v>2</v>
      </c>
      <c r="S998">
        <v>43.46</v>
      </c>
    </row>
    <row r="999" spans="1:19" x14ac:dyDescent="0.25">
      <c r="A999">
        <v>998</v>
      </c>
      <c r="B999" s="2">
        <v>44728</v>
      </c>
      <c r="C999">
        <v>2022</v>
      </c>
      <c r="D999" t="s">
        <v>21</v>
      </c>
      <c r="E999" s="2">
        <v>44737</v>
      </c>
      <c r="F999">
        <v>9</v>
      </c>
      <c r="G999" t="s">
        <v>33</v>
      </c>
      <c r="H999" t="s">
        <v>276</v>
      </c>
      <c r="I999" t="s">
        <v>324</v>
      </c>
      <c r="J999" t="s">
        <v>328</v>
      </c>
      <c r="K999" t="s">
        <v>332</v>
      </c>
      <c r="L999" t="s">
        <v>341</v>
      </c>
      <c r="M999" t="s">
        <v>348</v>
      </c>
      <c r="N999" t="s">
        <v>352</v>
      </c>
      <c r="O999" t="s">
        <v>357</v>
      </c>
      <c r="P999" t="s">
        <v>360</v>
      </c>
      <c r="Q999">
        <v>277.87</v>
      </c>
      <c r="R999">
        <v>4</v>
      </c>
      <c r="S999">
        <v>-30.39</v>
      </c>
    </row>
    <row r="1000" spans="1:19" x14ac:dyDescent="0.25">
      <c r="A1000">
        <v>999</v>
      </c>
      <c r="B1000" s="2">
        <v>45590</v>
      </c>
      <c r="C1000">
        <v>2024</v>
      </c>
      <c r="D1000" t="s">
        <v>22</v>
      </c>
      <c r="E1000" s="2">
        <v>45596</v>
      </c>
      <c r="F1000">
        <v>6</v>
      </c>
      <c r="G1000" t="s">
        <v>31</v>
      </c>
      <c r="H1000" t="s">
        <v>274</v>
      </c>
      <c r="I1000" t="s">
        <v>324</v>
      </c>
      <c r="J1000" t="s">
        <v>328</v>
      </c>
      <c r="K1000" t="s">
        <v>336</v>
      </c>
      <c r="L1000" t="s">
        <v>343</v>
      </c>
      <c r="M1000" t="s">
        <v>347</v>
      </c>
      <c r="N1000" t="s">
        <v>351</v>
      </c>
      <c r="O1000" t="s">
        <v>356</v>
      </c>
      <c r="P1000" t="s">
        <v>360</v>
      </c>
      <c r="Q1000">
        <v>441.23</v>
      </c>
      <c r="R1000">
        <v>3</v>
      </c>
      <c r="S1000">
        <v>-120.01</v>
      </c>
    </row>
    <row r="1001" spans="1:19" x14ac:dyDescent="0.25">
      <c r="A1001">
        <v>1000</v>
      </c>
      <c r="B1001" s="2">
        <v>44148</v>
      </c>
      <c r="C1001">
        <v>2020</v>
      </c>
      <c r="D1001" t="s">
        <v>30</v>
      </c>
      <c r="E1001" s="2">
        <v>44157</v>
      </c>
      <c r="F1001">
        <v>9</v>
      </c>
      <c r="G1001" t="s">
        <v>33</v>
      </c>
      <c r="H1001" t="s">
        <v>227</v>
      </c>
      <c r="I1001" t="s">
        <v>324</v>
      </c>
      <c r="J1001" t="s">
        <v>326</v>
      </c>
      <c r="K1001" t="s">
        <v>329</v>
      </c>
      <c r="L1001" t="s">
        <v>338</v>
      </c>
      <c r="M1001" t="s">
        <v>345</v>
      </c>
      <c r="N1001" t="s">
        <v>351</v>
      </c>
      <c r="O1001" t="s">
        <v>355</v>
      </c>
      <c r="P1001" t="s">
        <v>359</v>
      </c>
      <c r="Q1001">
        <v>254.49</v>
      </c>
      <c r="R1001">
        <v>1</v>
      </c>
      <c r="S1001">
        <v>-61.74</v>
      </c>
    </row>
  </sheetData>
  <autoFilter ref="A1: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6" zoomScaleNormal="86" workbookViewId="0">
      <selection activeCell="X8" sqref="X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database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2025-07-06T06:11:31Z</dcterms:created>
  <dcterms:modified xsi:type="dcterms:W3CDTF">2025-07-08T11:04:22Z</dcterms:modified>
</cp:coreProperties>
</file>